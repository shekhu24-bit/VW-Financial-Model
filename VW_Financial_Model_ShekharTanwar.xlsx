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BB24B6E-704F-4E84-943A-0441AE84B39D}" xr6:coauthVersionLast="47" xr6:coauthVersionMax="47" xr10:uidLastSave="{00000000-0000-0000-0000-000000000000}"/>
  <bookViews>
    <workbookView xWindow="-110" yWindow="-110" windowWidth="19420" windowHeight="11500" firstSheet="8" activeTab="12" xr2:uid="{FF8CAC79-934C-45F7-BDB4-07CC99871129}"/>
  </bookViews>
  <sheets>
    <sheet name="Cover" sheetId="1" r:id="rId1"/>
    <sheet name="Assumptions" sheetId="2" r:id="rId2"/>
    <sheet name="Historical P&amp;L" sheetId="3" r:id="rId3"/>
    <sheet name="Ratio Analysis" sheetId="4" r:id="rId4"/>
    <sheet name="Revenue Forecast" sheetId="5" r:id="rId5"/>
    <sheet name="Projected P&amp;L" sheetId="6" r:id="rId6"/>
    <sheet name="FCF Build" sheetId="7" r:id="rId7"/>
    <sheet name="WACC" sheetId="8" r:id="rId8"/>
    <sheet name="DCF Valuation" sheetId="9" r:id="rId9"/>
    <sheet name="Comps" sheetId="10" r:id="rId10"/>
    <sheet name="Sensitivity" sheetId="11" r:id="rId11"/>
    <sheet name="Football Field" sheetId="12" r:id="rId12"/>
    <sheet name="KPI Dashboard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3" l="1"/>
  <c r="B27" i="13"/>
  <c r="B28" i="13"/>
  <c r="B26" i="13"/>
  <c r="B25" i="13"/>
  <c r="B24" i="13"/>
  <c r="C20" i="13"/>
  <c r="D20" i="13"/>
  <c r="E20" i="13"/>
  <c r="F20" i="13"/>
  <c r="B20" i="13"/>
  <c r="F19" i="13"/>
  <c r="C19" i="13"/>
  <c r="D19" i="13"/>
  <c r="E19" i="13"/>
  <c r="B19" i="13"/>
  <c r="C18" i="13"/>
  <c r="D18" i="13"/>
  <c r="E18" i="13"/>
  <c r="F18" i="13"/>
  <c r="B18" i="13"/>
  <c r="C17" i="13"/>
  <c r="D17" i="13"/>
  <c r="E17" i="13"/>
  <c r="F17" i="13"/>
  <c r="B17" i="13"/>
  <c r="C16" i="13"/>
  <c r="D16" i="13"/>
  <c r="E16" i="13"/>
  <c r="F16" i="13"/>
  <c r="B16" i="13"/>
  <c r="C15" i="13"/>
  <c r="D15" i="13"/>
  <c r="E15" i="13"/>
  <c r="F15" i="13"/>
  <c r="B15" i="13"/>
  <c r="C14" i="13"/>
  <c r="D14" i="13"/>
  <c r="E14" i="13"/>
  <c r="F14" i="13"/>
  <c r="B14" i="13"/>
  <c r="C13" i="13"/>
  <c r="D13" i="13"/>
  <c r="E13" i="13"/>
  <c r="F13" i="13"/>
  <c r="B13" i="13"/>
  <c r="M5" i="13"/>
  <c r="I5" i="13"/>
  <c r="G5" i="13"/>
  <c r="E5" i="13"/>
  <c r="C5" i="13"/>
  <c r="A5" i="13"/>
  <c r="C11" i="12" l="1"/>
  <c r="C10" i="12"/>
  <c r="C9" i="12"/>
  <c r="C36" i="10"/>
  <c r="C35" i="10"/>
  <c r="C34" i="10"/>
  <c r="B36" i="10"/>
  <c r="B35" i="10"/>
  <c r="B34" i="10"/>
  <c r="F29" i="10"/>
  <c r="E29" i="10"/>
  <c r="C29" i="10"/>
  <c r="B29" i="10"/>
  <c r="F28" i="10"/>
  <c r="E28" i="10"/>
  <c r="D28" i="10"/>
  <c r="C28" i="10"/>
  <c r="B28" i="10"/>
  <c r="F27" i="10"/>
  <c r="E27" i="10"/>
  <c r="D27" i="10"/>
  <c r="C27" i="10"/>
  <c r="B27" i="10"/>
  <c r="I23" i="10"/>
  <c r="H23" i="10"/>
  <c r="E23" i="10"/>
  <c r="D20" i="10"/>
  <c r="E20" i="10"/>
  <c r="F20" i="10"/>
  <c r="G20" i="10"/>
  <c r="H20" i="10"/>
  <c r="I20" i="10"/>
  <c r="J20" i="10"/>
  <c r="K20" i="10"/>
  <c r="C20" i="10"/>
  <c r="D19" i="10"/>
  <c r="E19" i="10"/>
  <c r="F19" i="10"/>
  <c r="G19" i="10"/>
  <c r="H19" i="10"/>
  <c r="I19" i="10"/>
  <c r="J19" i="10"/>
  <c r="K19" i="10"/>
  <c r="C19" i="10"/>
  <c r="D18" i="10"/>
  <c r="E18" i="10"/>
  <c r="F18" i="10"/>
  <c r="G18" i="10"/>
  <c r="H18" i="10"/>
  <c r="I18" i="10"/>
  <c r="J18" i="10"/>
  <c r="K18" i="10"/>
  <c r="C18" i="10"/>
  <c r="D17" i="10"/>
  <c r="E17" i="10"/>
  <c r="F17" i="10"/>
  <c r="G17" i="10"/>
  <c r="H17" i="10"/>
  <c r="I17" i="10"/>
  <c r="J17" i="10"/>
  <c r="K17" i="10"/>
  <c r="C17" i="10"/>
  <c r="I7" i="10"/>
  <c r="I8" i="10"/>
  <c r="I9" i="10"/>
  <c r="I10" i="10"/>
  <c r="I11" i="10"/>
  <c r="I12" i="10"/>
  <c r="I13" i="10"/>
  <c r="I6" i="10"/>
  <c r="H7" i="10"/>
  <c r="H8" i="10"/>
  <c r="H9" i="10"/>
  <c r="H10" i="10"/>
  <c r="H11" i="10"/>
  <c r="H12" i="10"/>
  <c r="H13" i="10"/>
  <c r="H6" i="10"/>
  <c r="F24" i="11" l="1"/>
  <c r="E24" i="11"/>
  <c r="D24" i="11"/>
  <c r="C24" i="11"/>
  <c r="B24" i="11"/>
  <c r="F23" i="11"/>
  <c r="E23" i="11"/>
  <c r="D23" i="11"/>
  <c r="C23" i="11"/>
  <c r="B23" i="11"/>
  <c r="F22" i="11"/>
  <c r="E22" i="11"/>
  <c r="D22" i="11"/>
  <c r="C22" i="11"/>
  <c r="B22" i="11"/>
  <c r="F21" i="11"/>
  <c r="E21" i="11"/>
  <c r="D21" i="11"/>
  <c r="C21" i="11"/>
  <c r="B21" i="11"/>
  <c r="F20" i="11"/>
  <c r="E20" i="11"/>
  <c r="D20" i="11"/>
  <c r="C20" i="11"/>
  <c r="B20" i="11"/>
  <c r="B14" i="9"/>
  <c r="B13" i="9"/>
  <c r="B9" i="9"/>
  <c r="F8" i="9"/>
  <c r="E8" i="9"/>
  <c r="D8" i="9"/>
  <c r="C8" i="9"/>
  <c r="B8" i="9"/>
  <c r="B6" i="9"/>
  <c r="B36" i="8"/>
  <c r="B35" i="8"/>
  <c r="B34" i="8"/>
  <c r="B33" i="8"/>
  <c r="B29" i="8"/>
  <c r="B28" i="8"/>
  <c r="B27" i="8"/>
  <c r="B24" i="8"/>
  <c r="B23" i="8"/>
  <c r="B22" i="8"/>
  <c r="B21" i="8"/>
  <c r="B20" i="8"/>
  <c r="B17" i="8"/>
  <c r="B16" i="8"/>
  <c r="B15" i="8"/>
  <c r="B12" i="8"/>
  <c r="B11" i="8"/>
  <c r="B10" i="8"/>
  <c r="B9" i="8"/>
  <c r="B6" i="8"/>
  <c r="B7" i="7" l="1"/>
  <c r="C35" i="7"/>
  <c r="C33" i="7"/>
  <c r="B33" i="7"/>
  <c r="C32" i="7"/>
  <c r="B32" i="7"/>
  <c r="C31" i="7"/>
  <c r="B31" i="7"/>
  <c r="C30" i="7"/>
  <c r="C26" i="7"/>
  <c r="C22" i="7"/>
  <c r="B19" i="7"/>
  <c r="C18" i="7"/>
  <c r="C19" i="7" s="1"/>
  <c r="C17" i="7"/>
  <c r="B14" i="7"/>
  <c r="C13" i="7"/>
  <c r="C14" i="7" s="1"/>
  <c r="C12" i="7"/>
  <c r="D7" i="7"/>
  <c r="E7" i="7"/>
  <c r="F7" i="7"/>
  <c r="G7" i="7"/>
  <c r="C7" i="7"/>
  <c r="C6" i="7"/>
  <c r="C8" i="7" s="1"/>
  <c r="C9" i="7" s="1"/>
  <c r="B6" i="7"/>
  <c r="C32" i="6"/>
  <c r="B32" i="6"/>
  <c r="C29" i="6"/>
  <c r="B29" i="6"/>
  <c r="C28" i="6"/>
  <c r="B28" i="6"/>
  <c r="B27" i="6"/>
  <c r="B26" i="6"/>
  <c r="C25" i="6"/>
  <c r="B25" i="6"/>
  <c r="C24" i="6"/>
  <c r="B24" i="6"/>
  <c r="C23" i="6"/>
  <c r="B23" i="6"/>
  <c r="B22" i="6"/>
  <c r="C19" i="6"/>
  <c r="B19" i="6"/>
  <c r="C18" i="6"/>
  <c r="B18" i="6"/>
  <c r="C15" i="6"/>
  <c r="B15" i="6"/>
  <c r="C14" i="6"/>
  <c r="B14" i="6"/>
  <c r="C13" i="6"/>
  <c r="B13" i="6"/>
  <c r="C12" i="6"/>
  <c r="B12" i="6"/>
  <c r="C11" i="6"/>
  <c r="B11" i="6"/>
  <c r="B8" i="7" l="1"/>
  <c r="B9" i="7"/>
  <c r="B30" i="7" l="1"/>
  <c r="B26" i="7"/>
  <c r="B35" i="7" s="1"/>
  <c r="C10" i="6" l="1"/>
  <c r="B10" i="6"/>
  <c r="C7" i="6"/>
  <c r="C6" i="6"/>
  <c r="B6" i="6"/>
  <c r="D14" i="5"/>
  <c r="D10" i="5"/>
  <c r="D6" i="5"/>
  <c r="E14" i="5"/>
  <c r="E10" i="5"/>
  <c r="E6" i="5"/>
  <c r="F14" i="5"/>
  <c r="F10" i="5"/>
  <c r="F6" i="5"/>
  <c r="G14" i="5"/>
  <c r="G10" i="5"/>
  <c r="G6" i="5"/>
  <c r="C14" i="5"/>
  <c r="C10" i="5"/>
  <c r="C6" i="5"/>
  <c r="C7" i="5"/>
  <c r="B21" i="5"/>
  <c r="B20" i="5"/>
  <c r="B19" i="5"/>
  <c r="C15" i="5"/>
  <c r="D15" i="5" s="1"/>
  <c r="C11" i="5"/>
  <c r="C20" i="5" s="1"/>
  <c r="C53" i="4"/>
  <c r="D53" i="4"/>
  <c r="E53" i="4"/>
  <c r="F53" i="4"/>
  <c r="B53" i="4"/>
  <c r="C63" i="4"/>
  <c r="D63" i="4"/>
  <c r="E63" i="4"/>
  <c r="F63" i="4"/>
  <c r="B63" i="4"/>
  <c r="C62" i="4"/>
  <c r="D62" i="4"/>
  <c r="E62" i="4"/>
  <c r="F62" i="4"/>
  <c r="B62" i="4"/>
  <c r="C61" i="4"/>
  <c r="D61" i="4"/>
  <c r="E61" i="4"/>
  <c r="F61" i="4"/>
  <c r="B61" i="4"/>
  <c r="C60" i="4"/>
  <c r="D60" i="4"/>
  <c r="E60" i="4"/>
  <c r="F60" i="4"/>
  <c r="B60" i="4"/>
  <c r="C59" i="4"/>
  <c r="D59" i="4"/>
  <c r="E59" i="4"/>
  <c r="F59" i="4"/>
  <c r="B59" i="4"/>
  <c r="C58" i="4"/>
  <c r="D58" i="4"/>
  <c r="E58" i="4"/>
  <c r="F58" i="4"/>
  <c r="B58" i="4"/>
  <c r="C50" i="4"/>
  <c r="C51" i="4" s="1"/>
  <c r="D50" i="4"/>
  <c r="D51" i="4" s="1"/>
  <c r="E50" i="4"/>
  <c r="E51" i="4" s="1"/>
  <c r="F50" i="4"/>
  <c r="F51" i="4" s="1"/>
  <c r="B50" i="4"/>
  <c r="B51" i="4" s="1"/>
  <c r="E15" i="5" l="1"/>
  <c r="D21" i="5"/>
  <c r="C21" i="5"/>
  <c r="D11" i="5"/>
  <c r="D7" i="5"/>
  <c r="C19" i="5"/>
  <c r="E7" i="5" l="1"/>
  <c r="E6" i="6" s="1"/>
  <c r="D6" i="6"/>
  <c r="D19" i="5"/>
  <c r="F15" i="5"/>
  <c r="E21" i="5"/>
  <c r="D20" i="5"/>
  <c r="E11" i="5"/>
  <c r="E19" i="5"/>
  <c r="F7" i="5" l="1"/>
  <c r="F6" i="6" s="1"/>
  <c r="E24" i="13"/>
  <c r="F22" i="7"/>
  <c r="F33" i="7" s="1"/>
  <c r="F12" i="7"/>
  <c r="F17" i="7"/>
  <c r="F13" i="7"/>
  <c r="F13" i="6"/>
  <c r="F14" i="6"/>
  <c r="F18" i="7"/>
  <c r="F15" i="6"/>
  <c r="F7" i="6"/>
  <c r="F10" i="6"/>
  <c r="F11" i="6" s="1"/>
  <c r="C24" i="13"/>
  <c r="D13" i="7"/>
  <c r="D13" i="6"/>
  <c r="D14" i="6"/>
  <c r="D15" i="6"/>
  <c r="D22" i="7"/>
  <c r="D33" i="7" s="1"/>
  <c r="D18" i="7"/>
  <c r="D12" i="7"/>
  <c r="D17" i="7"/>
  <c r="D19" i="7" s="1"/>
  <c r="D32" i="7" s="1"/>
  <c r="D7" i="6"/>
  <c r="D10" i="6"/>
  <c r="D11" i="6" s="1"/>
  <c r="D24" i="13"/>
  <c r="E17" i="7"/>
  <c r="E13" i="7"/>
  <c r="E13" i="6"/>
  <c r="E22" i="7"/>
  <c r="E33" i="7" s="1"/>
  <c r="E12" i="7"/>
  <c r="E14" i="7" s="1"/>
  <c r="E31" i="7" s="1"/>
  <c r="E11" i="6"/>
  <c r="E14" i="6"/>
  <c r="E18" i="7"/>
  <c r="E15" i="6"/>
  <c r="E7" i="6"/>
  <c r="E10" i="6"/>
  <c r="G15" i="5"/>
  <c r="F21" i="5"/>
  <c r="F11" i="5"/>
  <c r="E20" i="5"/>
  <c r="F19" i="5"/>
  <c r="G7" i="5"/>
  <c r="G6" i="6" s="1"/>
  <c r="D18" i="6" l="1"/>
  <c r="D12" i="6"/>
  <c r="F18" i="6"/>
  <c r="F12" i="6"/>
  <c r="F19" i="7"/>
  <c r="F32" i="7" s="1"/>
  <c r="F14" i="7"/>
  <c r="F31" i="7" s="1"/>
  <c r="E12" i="6"/>
  <c r="E18" i="6"/>
  <c r="D14" i="7"/>
  <c r="D31" i="7" s="1"/>
  <c r="F24" i="13"/>
  <c r="G14" i="6"/>
  <c r="G18" i="7"/>
  <c r="G22" i="7"/>
  <c r="G33" i="7" s="1"/>
  <c r="G12" i="7"/>
  <c r="G17" i="7"/>
  <c r="G19" i="7" s="1"/>
  <c r="G32" i="7" s="1"/>
  <c r="G13" i="7"/>
  <c r="G13" i="6"/>
  <c r="G15" i="6"/>
  <c r="G10" i="6"/>
  <c r="G11" i="6" s="1"/>
  <c r="G7" i="6"/>
  <c r="E19" i="7"/>
  <c r="E32" i="7" s="1"/>
  <c r="G21" i="5"/>
  <c r="H15" i="5"/>
  <c r="H21" i="5" s="1"/>
  <c r="F20" i="5"/>
  <c r="G11" i="5"/>
  <c r="H7" i="5"/>
  <c r="H19" i="5" s="1"/>
  <c r="G19" i="5"/>
  <c r="G12" i="6" l="1"/>
  <c r="G18" i="6"/>
  <c r="D25" i="13"/>
  <c r="E19" i="6"/>
  <c r="D26" i="13" s="1"/>
  <c r="E23" i="6"/>
  <c r="E6" i="7"/>
  <c r="G14" i="7"/>
  <c r="G31" i="7" s="1"/>
  <c r="E25" i="13"/>
  <c r="F19" i="6"/>
  <c r="E26" i="13" s="1"/>
  <c r="F23" i="6"/>
  <c r="F6" i="7"/>
  <c r="C25" i="13"/>
  <c r="D19" i="6"/>
  <c r="C26" i="13" s="1"/>
  <c r="D23" i="6"/>
  <c r="D6" i="7"/>
  <c r="G20" i="5"/>
  <c r="H11" i="5"/>
  <c r="H20" i="5" s="1"/>
  <c r="E8" i="7" l="1"/>
  <c r="E9" i="7" s="1"/>
  <c r="D24" i="6"/>
  <c r="D25" i="6" s="1"/>
  <c r="D28" i="6" s="1"/>
  <c r="E24" i="6"/>
  <c r="E25" i="6"/>
  <c r="E28" i="6" s="1"/>
  <c r="F8" i="7"/>
  <c r="F9" i="7" s="1"/>
  <c r="F24" i="6"/>
  <c r="F25" i="6" s="1"/>
  <c r="F28" i="6" s="1"/>
  <c r="F25" i="13"/>
  <c r="G19" i="6"/>
  <c r="F26" i="13" s="1"/>
  <c r="G6" i="7"/>
  <c r="G23" i="6"/>
  <c r="D8" i="7"/>
  <c r="D9" i="7"/>
  <c r="C42" i="4"/>
  <c r="D42" i="4"/>
  <c r="E42" i="4"/>
  <c r="F42" i="4"/>
  <c r="B42" i="4"/>
  <c r="C39" i="4"/>
  <c r="D39" i="4"/>
  <c r="E39" i="4"/>
  <c r="F39" i="4"/>
  <c r="B39" i="4"/>
  <c r="C35" i="4"/>
  <c r="D35" i="4"/>
  <c r="E35" i="4"/>
  <c r="F35" i="4"/>
  <c r="B35" i="4"/>
  <c r="C34" i="4"/>
  <c r="D34" i="4"/>
  <c r="E34" i="4"/>
  <c r="F34" i="4"/>
  <c r="B34" i="4"/>
  <c r="C33" i="4"/>
  <c r="D33" i="4"/>
  <c r="E33" i="4"/>
  <c r="F33" i="4"/>
  <c r="B33" i="4"/>
  <c r="E30" i="7" l="1"/>
  <c r="E26" i="7"/>
  <c r="E28" i="13"/>
  <c r="F29" i="6"/>
  <c r="F32" i="6"/>
  <c r="F26" i="7"/>
  <c r="F30" i="7"/>
  <c r="C28" i="13"/>
  <c r="D32" i="6"/>
  <c r="D29" i="6"/>
  <c r="D30" i="7"/>
  <c r="D26" i="7"/>
  <c r="D28" i="13"/>
  <c r="E29" i="6"/>
  <c r="E32" i="6"/>
  <c r="G25" i="6"/>
  <c r="G28" i="6" s="1"/>
  <c r="G24" i="6"/>
  <c r="G8" i="7"/>
  <c r="G9" i="7" s="1"/>
  <c r="C27" i="4"/>
  <c r="E27" i="4"/>
  <c r="C26" i="4"/>
  <c r="C25" i="4"/>
  <c r="C24" i="4"/>
  <c r="D24" i="4"/>
  <c r="E24" i="4"/>
  <c r="F24" i="4"/>
  <c r="B24" i="4"/>
  <c r="C23" i="4"/>
  <c r="D23" i="4"/>
  <c r="E23" i="4"/>
  <c r="F23" i="4"/>
  <c r="B23" i="4"/>
  <c r="B18" i="4"/>
  <c r="B27" i="4" s="1"/>
  <c r="B17" i="4"/>
  <c r="B43" i="4" s="1"/>
  <c r="C19" i="4"/>
  <c r="D19" i="4"/>
  <c r="E19" i="4"/>
  <c r="F19" i="4"/>
  <c r="B19" i="4"/>
  <c r="F18" i="4"/>
  <c r="F27" i="4" s="1"/>
  <c r="E18" i="4"/>
  <c r="E25" i="4" s="1"/>
  <c r="D18" i="4"/>
  <c r="D25" i="4" s="1"/>
  <c r="C18" i="4"/>
  <c r="C17" i="4"/>
  <c r="C43" i="4" s="1"/>
  <c r="D17" i="4"/>
  <c r="D43" i="4" s="1"/>
  <c r="E17" i="4"/>
  <c r="E43" i="4" s="1"/>
  <c r="F17" i="4"/>
  <c r="F43" i="4" s="1"/>
  <c r="C16" i="4"/>
  <c r="D16" i="4"/>
  <c r="E16" i="4"/>
  <c r="F16" i="4"/>
  <c r="B16" i="4"/>
  <c r="B41" i="2"/>
  <c r="C27" i="2"/>
  <c r="D27" i="2"/>
  <c r="E27" i="2"/>
  <c r="F27" i="2"/>
  <c r="B27" i="2"/>
  <c r="C18" i="2"/>
  <c r="D18" i="2"/>
  <c r="E18" i="2"/>
  <c r="F18" i="2"/>
  <c r="B18" i="2"/>
  <c r="C14" i="2"/>
  <c r="D14" i="2"/>
  <c r="E14" i="2"/>
  <c r="F14" i="2"/>
  <c r="B14" i="2"/>
  <c r="C34" i="2"/>
  <c r="D34" i="2"/>
  <c r="E34" i="2"/>
  <c r="F34" i="2"/>
  <c r="B34" i="2"/>
  <c r="B59" i="2"/>
  <c r="B57" i="2"/>
  <c r="B56" i="2"/>
  <c r="C55" i="2"/>
  <c r="C49" i="2"/>
  <c r="C48" i="2"/>
  <c r="B48" i="2"/>
  <c r="B47" i="2"/>
  <c r="C45" i="2"/>
  <c r="B44" i="2"/>
  <c r="C41" i="2"/>
  <c r="C50" i="2" s="1"/>
  <c r="F6" i="2"/>
  <c r="E6" i="2"/>
  <c r="D6" i="2"/>
  <c r="C6" i="2"/>
  <c r="B6" i="2"/>
  <c r="C35" i="3"/>
  <c r="D35" i="3"/>
  <c r="E35" i="3"/>
  <c r="F35" i="3"/>
  <c r="B35" i="3"/>
  <c r="C34" i="3"/>
  <c r="D34" i="3"/>
  <c r="E34" i="3"/>
  <c r="F34" i="3"/>
  <c r="B34" i="3"/>
  <c r="C31" i="3"/>
  <c r="D31" i="3"/>
  <c r="E31" i="3"/>
  <c r="F31" i="3"/>
  <c r="B31" i="3"/>
  <c r="C30" i="3"/>
  <c r="D30" i="3"/>
  <c r="E30" i="3"/>
  <c r="F30" i="3"/>
  <c r="B30" i="3"/>
  <c r="C25" i="3"/>
  <c r="D25" i="3"/>
  <c r="E25" i="3"/>
  <c r="F25" i="3"/>
  <c r="B25" i="3"/>
  <c r="B18" i="3"/>
  <c r="C18" i="3"/>
  <c r="E18" i="3"/>
  <c r="F18" i="3"/>
  <c r="C17" i="3"/>
  <c r="D17" i="3"/>
  <c r="D18" i="3" s="1"/>
  <c r="E17" i="3"/>
  <c r="F17" i="3"/>
  <c r="B17" i="3"/>
  <c r="C11" i="3"/>
  <c r="D11" i="3"/>
  <c r="E11" i="3"/>
  <c r="F11" i="3"/>
  <c r="B11" i="3"/>
  <c r="F10" i="3"/>
  <c r="E10" i="3"/>
  <c r="D10" i="3"/>
  <c r="C10" i="3"/>
  <c r="B10" i="3"/>
  <c r="D6" i="3"/>
  <c r="E6" i="3"/>
  <c r="F6" i="3"/>
  <c r="C6" i="3"/>
  <c r="F28" i="13" l="1"/>
  <c r="G32" i="6"/>
  <c r="G29" i="6"/>
  <c r="E27" i="13"/>
  <c r="E6" i="9"/>
  <c r="E9" i="9" s="1"/>
  <c r="F35" i="7"/>
  <c r="C27" i="13"/>
  <c r="F13" i="11"/>
  <c r="C6" i="9"/>
  <c r="C9" i="9" s="1"/>
  <c r="E7" i="11"/>
  <c r="C11" i="11"/>
  <c r="G7" i="11"/>
  <c r="G8" i="11"/>
  <c r="D35" i="7"/>
  <c r="G26" i="7"/>
  <c r="F9" i="11" s="1"/>
  <c r="G30" i="7"/>
  <c r="D27" i="13"/>
  <c r="D6" i="9"/>
  <c r="D9" i="9" s="1"/>
  <c r="E35" i="7"/>
  <c r="E40" i="4"/>
  <c r="E41" i="4"/>
  <c r="D40" i="4"/>
  <c r="D41" i="4"/>
  <c r="B26" i="4"/>
  <c r="D27" i="4"/>
  <c r="C41" i="4"/>
  <c r="C40" i="4"/>
  <c r="F26" i="4"/>
  <c r="B49" i="4"/>
  <c r="B52" i="4"/>
  <c r="B54" i="4" s="1"/>
  <c r="E26" i="4"/>
  <c r="B28" i="4"/>
  <c r="F52" i="4"/>
  <c r="F54" i="4" s="1"/>
  <c r="F49" i="4"/>
  <c r="B25" i="4"/>
  <c r="D26" i="4"/>
  <c r="F28" i="4"/>
  <c r="E52" i="4"/>
  <c r="E54" i="4" s="1"/>
  <c r="E49" i="4"/>
  <c r="F25" i="4"/>
  <c r="E28" i="4"/>
  <c r="B40" i="4"/>
  <c r="B41" i="4"/>
  <c r="D52" i="4"/>
  <c r="D54" i="4" s="1"/>
  <c r="D49" i="4"/>
  <c r="D28" i="4"/>
  <c r="F40" i="4"/>
  <c r="F41" i="4"/>
  <c r="C52" i="4"/>
  <c r="C54" i="4" s="1"/>
  <c r="C49" i="4"/>
  <c r="C28" i="4"/>
  <c r="B49" i="2"/>
  <c r="C57" i="2"/>
  <c r="C59" i="2" s="1"/>
  <c r="D14" i="11" l="1"/>
  <c r="F11" i="11"/>
  <c r="B8" i="11"/>
  <c r="E8" i="11"/>
  <c r="D9" i="11"/>
  <c r="G11" i="11"/>
  <c r="G14" i="11"/>
  <c r="C13" i="11"/>
  <c r="F10" i="11"/>
  <c r="F14" i="11"/>
  <c r="G9" i="11"/>
  <c r="E12" i="11"/>
  <c r="D7" i="11"/>
  <c r="F12" i="11"/>
  <c r="C7" i="11"/>
  <c r="G13" i="11"/>
  <c r="C9" i="11"/>
  <c r="C14" i="11"/>
  <c r="E14" i="11"/>
  <c r="D10" i="11"/>
  <c r="E10" i="11"/>
  <c r="B10" i="11"/>
  <c r="C8" i="11"/>
  <c r="B13" i="11"/>
  <c r="B14" i="11"/>
  <c r="E13" i="11"/>
  <c r="B7" i="11"/>
  <c r="F8" i="11"/>
  <c r="D8" i="11"/>
  <c r="G12" i="11"/>
  <c r="B12" i="11"/>
  <c r="E11" i="11"/>
  <c r="E9" i="11"/>
  <c r="D11" i="11"/>
  <c r="F27" i="13"/>
  <c r="F6" i="9"/>
  <c r="F9" i="9" s="1"/>
  <c r="G9" i="9" s="1"/>
  <c r="B20" i="9" s="1"/>
  <c r="B12" i="9"/>
  <c r="B15" i="9" s="1"/>
  <c r="B16" i="9" s="1"/>
  <c r="G35" i="7"/>
  <c r="B9" i="11"/>
  <c r="D13" i="11"/>
  <c r="F7" i="11"/>
  <c r="G10" i="11"/>
  <c r="B11" i="11"/>
  <c r="C12" i="11"/>
  <c r="C10" i="11"/>
  <c r="D12" i="11"/>
  <c r="B17" i="9" l="1"/>
  <c r="B21" i="9"/>
  <c r="B22" i="9" s="1"/>
  <c r="C31" i="13" l="1"/>
  <c r="B25" i="9"/>
  <c r="B31" i="9" s="1"/>
  <c r="C32" i="13" l="1"/>
  <c r="B34" i="9"/>
  <c r="B38" i="9" s="1"/>
  <c r="G48" i="1" l="1"/>
  <c r="C33" i="13"/>
  <c r="K5" i="13"/>
  <c r="C6" i="12"/>
  <c r="B33" i="10"/>
  <c r="B42" i="9"/>
  <c r="B37" i="10" l="1"/>
  <c r="C33" i="10"/>
  <c r="B45" i="9"/>
  <c r="B43" i="9"/>
  <c r="C35" i="13" s="1"/>
  <c r="B44" i="9"/>
  <c r="C36" i="13" l="1"/>
  <c r="C37" i="10"/>
  <c r="G51" i="1"/>
  <c r="C37" i="13"/>
</calcChain>
</file>

<file path=xl/sharedStrings.xml><?xml version="1.0" encoding="utf-8"?>
<sst xmlns="http://schemas.openxmlformats.org/spreadsheetml/2006/main" count="648" uniqueCount="486">
  <si>
    <t xml:space="preserve"> </t>
  </si>
  <si>
    <t>Line Item (€ million)</t>
  </si>
  <si>
    <t>A. TOP LINE</t>
  </si>
  <si>
    <t>Sales Revenue</t>
  </si>
  <si>
    <t>Cost of Sales</t>
  </si>
  <si>
    <t>YoY Growth (%)</t>
  </si>
  <si>
    <t>B. COST STRUCTURE</t>
  </si>
  <si>
    <t>Gross Result</t>
  </si>
  <si>
    <t>Gross Margin %</t>
  </si>
  <si>
    <t>Distribution Exp</t>
  </si>
  <si>
    <t>Admin Expenses</t>
  </si>
  <si>
    <t>Other Operating Income/Expense (Net)</t>
  </si>
  <si>
    <t>C. OPERATING RESULT</t>
  </si>
  <si>
    <t>EBIT</t>
  </si>
  <si>
    <t>EBIT Margin %</t>
  </si>
  <si>
    <t>D. BELOW THE LINE</t>
  </si>
  <si>
    <t>Share of Result — Equity Investments</t>
  </si>
  <si>
    <t>Interest Income</t>
  </si>
  <si>
    <t>Interest Expense</t>
  </si>
  <si>
    <t>Other Financial Result</t>
  </si>
  <si>
    <t>Financial Result</t>
  </si>
  <si>
    <t>Earnings Before Tax (EBT)</t>
  </si>
  <si>
    <t>Income Tax Expense</t>
  </si>
  <si>
    <t>Effective Tax Rate %</t>
  </si>
  <si>
    <t>Earnings After Tax</t>
  </si>
  <si>
    <t>Non-Controlling Interests</t>
  </si>
  <si>
    <t>Hybrid Capital Investors (Coupon)</t>
  </si>
  <si>
    <t>Net Income to VW AG Shareholders</t>
  </si>
  <si>
    <t>Net Margin %</t>
  </si>
  <si>
    <t>F. PER SHARE DATA</t>
  </si>
  <si>
    <t>EPS — Ordinary Share (€)</t>
  </si>
  <si>
    <t>EPS — Preferred Share (€)</t>
  </si>
  <si>
    <t>Shares Outstanding — Ordinary (million)</t>
  </si>
  <si>
    <t>Shares Outstanding — Preferred (million)</t>
  </si>
  <si>
    <t>Total Shares Outstanding (million)</t>
  </si>
  <si>
    <t>VOLKSWAGEN AG  —  MODEL ASSUMPTIONS</t>
  </si>
  <si>
    <t>All inputs highlighted in BLUE are hardcoded assumptions. Black cells are formulas. Green cells link from other sheets.</t>
  </si>
  <si>
    <t>A. REVENUE GROWTH ASSUMPTIONS</t>
  </si>
  <si>
    <t>Scenario / Item</t>
  </si>
  <si>
    <t>2026E</t>
  </si>
  <si>
    <t>2027E</t>
  </si>
  <si>
    <t>2028E</t>
  </si>
  <si>
    <t>2029E</t>
  </si>
  <si>
    <t>2030E</t>
  </si>
  <si>
    <t>Base Case — Revenue Growth (%)</t>
  </si>
  <si>
    <t>Bull Case — Revenue Growth (%)</t>
  </si>
  <si>
    <t>Bear Case — Revenue Growth (%)</t>
  </si>
  <si>
    <t>B. MARGIN ASSUMPTIONS (% of Revenue)</t>
  </si>
  <si>
    <t>Margin Item</t>
  </si>
  <si>
    <t>COGS % of Revenue</t>
  </si>
  <si>
    <t>Distribution Exp % Revenue</t>
  </si>
  <si>
    <t>Admin Exp % Revenue</t>
  </si>
  <si>
    <t>Other Operating Net % Rev</t>
  </si>
  <si>
    <t>EBIT Margin (Implied)</t>
  </si>
  <si>
    <t>Effective Tax Rate</t>
  </si>
  <si>
    <t>C. CAPEX &amp; DEPRECIATION ASSUMPTIONS</t>
  </si>
  <si>
    <t>Item</t>
  </si>
  <si>
    <t>CapEx % Revenue (PPE+Intangibles)</t>
  </si>
  <si>
    <t>Capitalized Dev Costs % Revenue</t>
  </si>
  <si>
    <t>D&amp;A PPE % Revenue</t>
  </si>
  <si>
    <t>D&amp;A Dev Costs % Revenue</t>
  </si>
  <si>
    <t>Total D&amp;A % Revenue (approx.)</t>
  </si>
  <si>
    <t>D. WORKING CAPITAL ASSUMPTIONS</t>
  </si>
  <si>
    <t>Days Inventory Outstanding (DIO)</t>
  </si>
  <si>
    <t>Days Sales Outstanding (DSO)</t>
  </si>
  <si>
    <t>Days Payable Outstanding (DPO)</t>
  </si>
  <si>
    <t>Cash Conversion Cycle (days)</t>
  </si>
  <si>
    <t>E. WACC INPUTS</t>
  </si>
  <si>
    <t>Parameter</t>
  </si>
  <si>
    <t>Value</t>
  </si>
  <si>
    <t>Notes</t>
  </si>
  <si>
    <t>Risk-Free Rate (German 10Y Bund Yield)</t>
  </si>
  <si>
    <t>Equity Risk Premium (ERP — Damodaran EU)</t>
  </si>
  <si>
    <t>VW Beta (5Y Monthly vs DAX, Adjusted)</t>
  </si>
  <si>
    <t>Cost of Equity (CAPM = Rf + β × ERP)</t>
  </si>
  <si>
    <t>Pre-Tax Cost of Debt</t>
  </si>
  <si>
    <t>VW bond yield, weighted avg maturity</t>
  </si>
  <si>
    <t>Effective Tax Rate (for Kd)</t>
  </si>
  <si>
    <t>After-Tax Cost of Debt</t>
  </si>
  <si>
    <t>Market Value of Equity (€B, approx.)</t>
  </si>
  <si>
    <t>Total Debt — Automotive Only (€B)</t>
  </si>
  <si>
    <t>Equity Weight</t>
  </si>
  <si>
    <t>Debt Weight</t>
  </si>
  <si>
    <t>WACC</t>
  </si>
  <si>
    <t>F. TERMINAL VALUE &amp; DCF INPUTS</t>
  </si>
  <si>
    <t>Terminal Growth Rate (g)</t>
  </si>
  <si>
    <t>Terminal Year FCF</t>
  </si>
  <si>
    <t>Linked from FCF sheet — base case</t>
  </si>
  <si>
    <t>Terminal Value (Gordon Growth)</t>
  </si>
  <si>
    <t>Discount Periods for TV</t>
  </si>
  <si>
    <t>PV of Terminal Value</t>
  </si>
  <si>
    <t>E. EARNINGS</t>
  </si>
  <si>
    <t>VOLKSWAGEN AG — FINANCIAL RATIO ANALYSIS</t>
  </si>
  <si>
    <t>All ratios calculated from Historical P&amp;L and Balance Sheet. Formulas auto-linked.</t>
  </si>
  <si>
    <t>RATIO</t>
  </si>
  <si>
    <t>2021</t>
  </si>
  <si>
    <t>2022</t>
  </si>
  <si>
    <t>2023</t>
  </si>
  <si>
    <t>2024</t>
  </si>
  <si>
    <t>2025</t>
  </si>
  <si>
    <t>Benchmark</t>
  </si>
  <si>
    <t>★  BALANCE SHEET KEY DATA (€ million) — for ratio calculation</t>
  </si>
  <si>
    <t>Source</t>
  </si>
  <si>
    <t>Total Assets</t>
  </si>
  <si>
    <t>Total Equity</t>
  </si>
  <si>
    <t>Cash &amp; Equivalents</t>
  </si>
  <si>
    <t>Inventories</t>
  </si>
  <si>
    <t>Current Assets</t>
  </si>
  <si>
    <t>Current Liabilities</t>
  </si>
  <si>
    <t>Total Debt (Gross)</t>
  </si>
  <si>
    <t>Trade Payables</t>
  </si>
  <si>
    <t>Trade Receivables</t>
  </si>
  <si>
    <t>Net Income VW Shareholders</t>
  </si>
  <si>
    <t>Revenue</t>
  </si>
  <si>
    <t>Net Debt (Gross Debt − Cash)</t>
  </si>
  <si>
    <t>A. PROFITABILITY RATIOS</t>
  </si>
  <si>
    <t>Ratio</t>
  </si>
  <si>
    <t>Industry Avg</t>
  </si>
  <si>
    <t>18–22%</t>
  </si>
  <si>
    <t>5–8%</t>
  </si>
  <si>
    <t>Net Profit Margin %</t>
  </si>
  <si>
    <t>3–5%</t>
  </si>
  <si>
    <t>Return on Assets (ROA %)</t>
  </si>
  <si>
    <t>2–4%</t>
  </si>
  <si>
    <t>Return on Equity (ROE %)</t>
  </si>
  <si>
    <t>8–12%</t>
  </si>
  <si>
    <t>EBITDA Margin % (approx.)</t>
  </si>
  <si>
    <t>EBITDA (€M)</t>
  </si>
  <si>
    <t>B. LIQUIDITY RATIOS</t>
  </si>
  <si>
    <t>Current Ratio</t>
  </si>
  <si>
    <t>0.6-0.9x</t>
  </si>
  <si>
    <t>0.9-1.2x</t>
  </si>
  <si>
    <t>Quick Ratio</t>
  </si>
  <si>
    <t>Cash Ratio</t>
  </si>
  <si>
    <t>0.1-0.3x</t>
  </si>
  <si>
    <t>C. LEVERAGE RATIOS</t>
  </si>
  <si>
    <t>Gross Debt/Equity</t>
  </si>
  <si>
    <t>Net Debt/Equity</t>
  </si>
  <si>
    <t>Net Debt/EBITDA</t>
  </si>
  <si>
    <t>Debt/Total Assets</t>
  </si>
  <si>
    <t>Interest Coverage</t>
  </si>
  <si>
    <t>Excl. Fin. Svcs</t>
  </si>
  <si>
    <t>Interest Expense (helper row — hidden)</t>
  </si>
  <si>
    <t>1.0–2.0x</t>
  </si>
  <si>
    <t>&lt;0.7x</t>
  </si>
  <si>
    <t>&gt;3.0x</t>
  </si>
  <si>
    <t>0.3–0.8x</t>
  </si>
  <si>
    <t>Note: Volkswagen's debt ratios appear distorted because they include debt from its Financial Services division (leasing and banking operations). On an automotive-only basis, Volkswagen reported **Net Liquidity of €34.5 billion in 2025**, meaning its core automotive business is **net cash positive**, not highly leveraged.</t>
  </si>
  <si>
    <t>D. EFFICIENCY RATIOS</t>
  </si>
  <si>
    <t>Asset Turnover</t>
  </si>
  <si>
    <t>Inventory Turnover</t>
  </si>
  <si>
    <t>0.3–0.5x</t>
  </si>
  <si>
    <t>4–6x</t>
  </si>
  <si>
    <t>Days Inventory (DIO)</t>
  </si>
  <si>
    <t>Days Sales (DSO)</t>
  </si>
  <si>
    <t>Days Payable (DPO)</t>
  </si>
  <si>
    <t>Cash Conversion Cycle</t>
  </si>
  <si>
    <t>E. DU PONT ANALYSIS — ROE DECOMPOSITION</t>
  </si>
  <si>
    <t>Equity Multiplier</t>
  </si>
  <si>
    <t>ROE (DuPont)</t>
  </si>
  <si>
    <t>ROE (Direct Check)</t>
  </si>
  <si>
    <t>Match?</t>
  </si>
  <si>
    <t>VOLKSWAGEN AG — REVENUE FORECAST (€ million) | BEAR / BASE / BULL</t>
  </si>
  <si>
    <t>Growth rates linked from Assumptions sheet. FY2025 Actual = base year. All forecasts 2026E–2030E.</t>
  </si>
  <si>
    <t>SCENARIO / ITEM</t>
  </si>
  <si>
    <t>2025A</t>
  </si>
  <si>
    <t>CAGR 25-30</t>
  </si>
  <si>
    <t>★  BASE CASE — Revenue Projection</t>
  </si>
  <si>
    <t>Revenue Growth Rate (%)</t>
  </si>
  <si>
    <t>Sales Revenue — Base Case (€M)</t>
  </si>
  <si>
    <t>▲  BULL CASE — Optimistic Projection</t>
  </si>
  <si>
    <t>Sales Revenue — Bull Case (€M)</t>
  </si>
  <si>
    <t>▼  BEAR CASE — Conservative Projection</t>
  </si>
  <si>
    <t>Sales Revenue — Bear Case (€M)</t>
  </si>
  <si>
    <t>SCENARIO COMPARISON SUMMARY</t>
  </si>
  <si>
    <t>Scenario</t>
  </si>
  <si>
    <t>5Y CAGR</t>
  </si>
  <si>
    <t>Base Case</t>
  </si>
  <si>
    <t>Bull Case</t>
  </si>
  <si>
    <t>Bear Case</t>
  </si>
  <si>
    <t>VOLKSWAGEN AG — PROJECTED INCOME STATEMENT (€ million) | BASE CASE</t>
  </si>
  <si>
    <t>Revenue from Revenue Forecast sheet (Base Case). All margins from Assumptions sheet. Formulas fully linked.</t>
  </si>
  <si>
    <t>LINE ITEM (€ million)</t>
  </si>
  <si>
    <t>Distribution Expenses</t>
  </si>
  <si>
    <t>Administrative Expenses</t>
  </si>
  <si>
    <t>Other Operating Income/Exp (Net)</t>
  </si>
  <si>
    <t>C. OPERATING RESULT (EBIT)</t>
  </si>
  <si>
    <t>Operating Result (EBIT)</t>
  </si>
  <si>
    <t>D. BELOW EBIT — EARNINGS</t>
  </si>
  <si>
    <t>Financial Result (est.)</t>
  </si>
  <si>
    <t>Net Income — VW AG Shareholders</t>
  </si>
  <si>
    <t>E. PER SHARE DATA</t>
  </si>
  <si>
    <t>VOLKSWAGEN AG — FREE CASH FLOW TO FIRM (FCFF) (€ million)</t>
  </si>
  <si>
    <t>FCFF = EBIT×(1−t) + D&amp;A − CapEx − ΔWorking Capital | Base Case</t>
  </si>
  <si>
    <t>FCF BUILD (€ million)</t>
  </si>
  <si>
    <t>STEP 1 — EBIT &amp; NOPAT (Net Operating Profit After Tax)</t>
  </si>
  <si>
    <t>Tax on EBIT (= EBIT × Tax Rate)</t>
  </si>
  <si>
    <t>NOPAT = EBIT × (1 − Tax Rate)</t>
  </si>
  <si>
    <t>STEP 2 — ADD BACK: DEPRECIATION &amp; AMORTIZATION</t>
  </si>
  <si>
    <t>+ D&amp;A — PPE &amp; Intangibles</t>
  </si>
  <si>
    <t>+ Amortization — Capitalized Dev. Costs</t>
  </si>
  <si>
    <t>Total D&amp;A Add-back</t>
  </si>
  <si>
    <t>STEP 3 — LESS: CAPITAL EXPENDITURE</t>
  </si>
  <si>
    <t>− CapEx (PPE + Investment Property)</t>
  </si>
  <si>
    <t>− Capitalized Development Costs</t>
  </si>
  <si>
    <t>Total CapEx (Net Investment)</t>
  </si>
  <si>
    <t>STEP 4 — CHANGE IN NET WORKING CAPITAL (ΔWC)</t>
  </si>
  <si>
    <t>− Change in Net Working Capital</t>
  </si>
  <si>
    <t>RESULT — FREE CASH FLOW TO FIRM (FCFF)</t>
  </si>
  <si>
    <t>★ FCFF — Free Cash Flow to Firm</t>
  </si>
  <si>
    <t>FCFF BUILD SUMMARY — STEP BY STEP</t>
  </si>
  <si>
    <t>Component</t>
  </si>
  <si>
    <t>NOPAT</t>
  </si>
  <si>
    <t>+ Total D&amp;A</t>
  </si>
  <si>
    <t>− Total CapEx</t>
  </si>
  <si>
    <t>− ΔWorking Capital</t>
  </si>
  <si>
    <t>FCFF</t>
  </si>
  <si>
    <t>VOLKSWAGEN AG — WACC CALCULATION</t>
  </si>
  <si>
    <t>WACC = We×Ke + Wd×Kd×(1−t) | Cost of Equity via CAPM: Ke = Rf + β×ERP</t>
  </si>
  <si>
    <t>PARAMETER</t>
  </si>
  <si>
    <t>VALUE</t>
  </si>
  <si>
    <t>NOTES / SOURCE</t>
  </si>
  <si>
    <t>A. RISK-FREE RATE</t>
  </si>
  <si>
    <t>German 10-Year Bund Yield (Rf)</t>
  </si>
  <si>
    <t>Source: ECB / Bloomberg, June 2026</t>
  </si>
  <si>
    <t>B. COST OF EQUITY (Ke) — CAPM METHOD</t>
  </si>
  <si>
    <t>Risk-Free Rate (Rf)</t>
  </si>
  <si>
    <t>Linked from Section A above</t>
  </si>
  <si>
    <t>Equity Risk Premium (ERP)</t>
  </si>
  <si>
    <t>Damodaran Western Europe ERP estimate, 2026</t>
  </si>
  <si>
    <t>Bloomberg adjusted beta — between raw &amp; 1.0</t>
  </si>
  <si>
    <t>Cost of Equity Ke = Rf + β × ERP</t>
  </si>
  <si>
    <t>CAPM Formula: Rf + Beta × ERP</t>
  </si>
  <si>
    <t>C. COST OF DEBT (Kd)</t>
  </si>
  <si>
    <t>Pre-Tax Cost of Debt (Kd)</t>
  </si>
  <si>
    <t>Effective Tax Rate (for Kd shield)</t>
  </si>
  <si>
    <t>Same as income tax assumption</t>
  </si>
  <si>
    <t>After-Tax Cost of Debt Kd×(1−t)</t>
  </si>
  <si>
    <t>Interest tax shield applied</t>
  </si>
  <si>
    <t>D. CAPITAL STRUCTURE (Market Value Weights)</t>
  </si>
  <si>
    <t>Market Value of Equity (€ billion)</t>
  </si>
  <si>
    <t>Preferred share price × shares + Ordinary</t>
  </si>
  <si>
    <t>Total Debt — Automotive Division Only (€B)</t>
  </si>
  <si>
    <t>Excl. Financial Services liabilities</t>
  </si>
  <si>
    <t>Total Capital (E + D)</t>
  </si>
  <si>
    <t>Market Value basis</t>
  </si>
  <si>
    <t>Equity Weight (We = E / (E+D))</t>
  </si>
  <si>
    <t>hare of equity in total capital</t>
  </si>
  <si>
    <t>Debt Weight (Wd = D / (E+D))</t>
  </si>
  <si>
    <t>Balance of capital structure</t>
  </si>
  <si>
    <t>E. WACC — FINAL RESULT</t>
  </si>
  <si>
    <t>Equity Component (We × Ke)</t>
  </si>
  <si>
    <t>37.0% × 8.85%</t>
  </si>
  <si>
    <t>Debt Component (Wd × Kd × (1−t))</t>
  </si>
  <si>
    <t>63.0% × 3.24%</t>
  </si>
  <si>
    <t>★  WACC = We×Ke + Wd×Kd×(1−t)</t>
  </si>
  <si>
    <t>This rate will discount FCFFs in DCF</t>
  </si>
  <si>
    <t>F. SANITY CHECK — REASONABLENESS TEST</t>
  </si>
  <si>
    <t>Industry WACC Range (Auto sector)</t>
  </si>
  <si>
    <t>6% – 9%</t>
  </si>
  <si>
    <t>Our WACC</t>
  </si>
  <si>
    <t>Risk-Free Rate</t>
  </si>
  <si>
    <t>WACC &gt; Rf? (Must be TRUE)</t>
  </si>
  <si>
    <t>Ke &gt; Kd? (Must be TRUE)</t>
  </si>
  <si>
    <t>G. WACC SENSITIVITY — IMPACT ON VALUATION</t>
  </si>
  <si>
    <t>Note: WACC mein ±1% change se Enterprise Value mein ~15-20% swing aata hai.
Isliye Sensitivity Analysis sheet mein WACC ko 7% se 11% range mein test karenge.
Base Case WACC = 5.3% — ye conservative hai kyunki VW automotive business net cash positive hai.</t>
  </si>
  <si>
    <t>VOLKSWAGEN AG — DCF VALUATION (€ million)</t>
  </si>
  <si>
    <t>PV of FCFFs (2026E–2030E) + PV of Terminal Value = Enterprise Value → EV Bridge → Intrinsic Price</t>
  </si>
  <si>
    <t>DCF ITEM</t>
  </si>
  <si>
    <t>TOTAL / NOTES</t>
  </si>
  <si>
    <t>A. FREE CASH FLOW DISCOUNTING</t>
  </si>
  <si>
    <t>Free Cash Flow to Firm (FCFF)</t>
  </si>
  <si>
    <t>Discount Period (n)</t>
  </si>
  <si>
    <t>Discount Factor 1÷(1+WACC)^n</t>
  </si>
  <si>
    <t>PV of FCFF</t>
  </si>
  <si>
    <t>B. TERMINAL VALUE (Gordon Growth Model)</t>
  </si>
  <si>
    <t>Terminal Year FCFF (2030E)</t>
  </si>
  <si>
    <t>WACC (Discount Rate)</t>
  </si>
  <si>
    <t>Terminal Value = FCFF×(1+g) ÷ (WACC−g)</t>
  </si>
  <si>
    <t>Gordon Growth Model</t>
  </si>
  <si>
    <t>Terminal Value as % of EV (sanity check)</t>
  </si>
  <si>
    <t>C. ENTERPRISE VALUE</t>
  </si>
  <si>
    <t>Sum of PV of FCFFs (2026E–2030E)</t>
  </si>
  <si>
    <t>★ ENTERPRISE VALUE (EV)</t>
  </si>
  <si>
    <t>D. EV → EQUITY VALUE BRIDGE</t>
  </si>
  <si>
    <t>Enterprise Value</t>
  </si>
  <si>
    <t>Less: Total Gross Debt (Automotive, €M)</t>
  </si>
  <si>
    <t>Less: Pension Provisions</t>
  </si>
  <si>
    <t>Less: Non-Controlling Interests</t>
  </si>
  <si>
    <t>Plus: Cash &amp; Cash Equivalents</t>
  </si>
  <si>
    <t>Plus: Marketable Securities</t>
  </si>
  <si>
    <t>EQUITY VALUE</t>
  </si>
  <si>
    <t>E. INTRINSIC SHARE PRICE</t>
  </si>
  <si>
    <t>Equity Value (€ million)</t>
  </si>
  <si>
    <t>Ordinary Shares (million)</t>
  </si>
  <si>
    <t>Preferred Shares (million)</t>
  </si>
  <si>
    <t>★ INTRINSIC PRICE PER SHARE (€)</t>
  </si>
  <si>
    <t>F. VALUATION CONCLUSION</t>
  </si>
  <si>
    <t>Current Market Price — Preferred (€)</t>
  </si>
  <si>
    <t>Intrinsic Value — DCF (€)</t>
  </si>
  <si>
    <t>Premium/(Discount) to Market</t>
  </si>
  <si>
    <t>Upside Potential</t>
  </si>
  <si>
    <t>VALUATION VERDICT</t>
  </si>
  <si>
    <t xml:space="preserve"> VOLKSWAGEN AG — SENSITIVITY ANALYSIS | INTRINSIC PRICE (€/share)</t>
  </si>
  <si>
    <t>2-Dimensional Table: WACC (rows) × Terminal Growth Rate (columns). Gold = Base Case cell.</t>
  </si>
  <si>
    <t>TABLE 1 — WACC vs TERMINAL GROWTH RATE → IMPLIED INTRINSIC PRICE (€ / Preferred Share)</t>
  </si>
  <si>
    <t>WACC \ TGR →</t>
  </si>
  <si>
    <t>Current Market Price (€)</t>
  </si>
  <si>
    <t>← Reference: At which WACC/TGR does intrinsic = market price?</t>
  </si>
  <si>
    <t>TABLE 2 — EBIT MARGIN vs REVENUE GROWTH → IMPLIED INTRINSIC PRICE (€/share)</t>
  </si>
  <si>
    <t>EBIT/REVENUE</t>
  </si>
  <si>
    <t>INTERPRETATION GUIDE</t>
  </si>
  <si>
    <t>Gold cell = Base Case (WACC 5.32%, TGR 2.0%) → €546/share</t>
  </si>
  <si>
    <t>Green cells = Higher intrinsic value (undervalued zone)</t>
  </si>
  <si>
    <t>Red cells = Lower intrinsic value (closer to market price)</t>
  </si>
  <si>
    <t>At WACC ~8-9% with TGR ~1.5%, price approaches market range (€100-150)</t>
  </si>
  <si>
    <t>Key Insight: Results highly sensitive to WACC — small change = big impact</t>
  </si>
  <si>
    <t>VOLKSWAGEN AG — TRADING COMPARABLES ANALYSIS (COMPS)</t>
  </si>
  <si>
    <t>Source: Bloomberg / FactSet estimates, June 2026. EV multiples on LTM basis. All figures in € billion unless stated.</t>
  </si>
  <si>
    <t>PEER GROUP — GLOBAL AUTOMOTIVE MANUFACTURERS</t>
  </si>
  <si>
    <t>Company</t>
  </si>
  <si>
    <t>Country</t>
  </si>
  <si>
    <t>Mkt Cap (€B)</t>
  </si>
  <si>
    <t>Net Debt (€B)</t>
  </si>
  <si>
    <t>EV (€B)</t>
  </si>
  <si>
    <t>Revenue (€B)</t>
  </si>
  <si>
    <t>EBITDA (€B)</t>
  </si>
  <si>
    <t>EV/EBITDA</t>
  </si>
  <si>
    <t>EV/Revenue</t>
  </si>
  <si>
    <t>P/E (NTM)</t>
  </si>
  <si>
    <t>P/B</t>
  </si>
  <si>
    <t>Note</t>
  </si>
  <si>
    <t>Toyota Motor Corp</t>
  </si>
  <si>
    <t>Mercedes-Benz AG</t>
  </si>
  <si>
    <t>BMW AG</t>
  </si>
  <si>
    <t>Stellantis NV</t>
  </si>
  <si>
    <t>Ford Motor Co</t>
  </si>
  <si>
    <t>General Motors</t>
  </si>
  <si>
    <t>Renault Group</t>
  </si>
  <si>
    <t>Honda Motor Co</t>
  </si>
  <si>
    <t>Japan</t>
  </si>
  <si>
    <t>Germany</t>
  </si>
  <si>
    <t>Netherlands</t>
  </si>
  <si>
    <t>USA</t>
  </si>
  <si>
    <t>France</t>
  </si>
  <si>
    <t>Largest global automaker</t>
  </si>
  <si>
    <t>Premium / luxury</t>
  </si>
  <si>
    <t>Premium, PHEV leader</t>
  </si>
  <si>
    <t>Multi-brand volume</t>
  </si>
  <si>
    <t>EV transition</t>
  </si>
  <si>
    <t>Strong N. America</t>
  </si>
  <si>
    <t>Strategic pivot</t>
  </si>
  <si>
    <t>Motorcycle + auto</t>
  </si>
  <si>
    <t>PEER STATISTICS</t>
  </si>
  <si>
    <t>Statistic</t>
  </si>
  <si>
    <t>Mkt Cap</t>
  </si>
  <si>
    <t>Net Debt</t>
  </si>
  <si>
    <t>EV</t>
  </si>
  <si>
    <t>EBITDA</t>
  </si>
  <si>
    <t>P/E</t>
  </si>
  <si>
    <t>Median</t>
  </si>
  <si>
    <t>Mean</t>
  </si>
  <si>
    <t>Min</t>
  </si>
  <si>
    <t>Max</t>
  </si>
  <si>
    <t>VOLKSWAGEN AG — ACTUAL DATA</t>
  </si>
  <si>
    <t>Volkswagen AG</t>
  </si>
  <si>
    <t>VOLKSWAGEN IMPLIED VALUATION FROM PEER MULTIPLES</t>
  </si>
  <si>
    <t>Methodology</t>
  </si>
  <si>
    <t>Peer Median Multiple</t>
  </si>
  <si>
    <t>VW Metric (€B)</t>
  </si>
  <si>
    <t>Implied EV (€B)</t>
  </si>
  <si>
    <t>Implied Equity (€B)</t>
  </si>
  <si>
    <t>Implied Price (€)</t>
  </si>
  <si>
    <t>EV/EBITDA Method</t>
  </si>
  <si>
    <t>EV/Revenue Method</t>
  </si>
  <si>
    <t>P/E Method</t>
  </si>
  <si>
    <t>VALUATION SUMMARY — DCF vs COMPS</t>
  </si>
  <si>
    <t>Method</t>
  </si>
  <si>
    <t>vs Market (€86.40)</t>
  </si>
  <si>
    <t>DCF Base Case</t>
  </si>
  <si>
    <t>EV/EBITDA Comps</t>
  </si>
  <si>
    <t>EV/Revenue Comps</t>
  </si>
  <si>
    <t>P/E Comps</t>
  </si>
  <si>
    <t>Average of Methods</t>
  </si>
  <si>
    <t>VOLKSWAGEN AG — FOOTBALL FIELD VALUATION SUMMARY</t>
  </si>
  <si>
    <t>Valuation range across methodologies. Current market price = reference. All prices in €/share.</t>
  </si>
  <si>
    <t>VALUATION RANGE TABLE (€/share)</t>
  </si>
  <si>
    <t>Low (€)</t>
  </si>
  <si>
    <t>Mid-Point (€)</t>
  </si>
  <si>
    <t>High (€)</t>
  </si>
  <si>
    <t>Current Price (€)</t>
  </si>
  <si>
    <t>DCF — Base Case</t>
  </si>
  <si>
    <t>DCF — Bull Case</t>
  </si>
  <si>
    <t>DCF — Bear Case</t>
  </si>
  <si>
    <t>52-Week Trading Range</t>
  </si>
  <si>
    <t>KEY TAKEAWAYS</t>
  </si>
  <si>
    <t>★ All valuation methods except 52-week range indicate UNDERVALUATION</t>
  </si>
  <si>
    <t>★ DCF Base Case: €546.55 — 6.3x market price</t>
  </si>
  <si>
    <t>★ EV/EBITDA Comps: €405.73 — 4.7x market price</t>
  </si>
  <si>
    <t>★ Even bear case DCF (€250) is 2.9x current price</t>
  </si>
  <si>
    <t>★ Only P/E method (€99.84) is close to market — depressed earnings effect</t>
  </si>
  <si>
    <t>★ Verdict: VW appears significantly UNDERVALUED on fundamental basis</t>
  </si>
  <si>
    <t>VOLKSWAGEN AG — EXECUTIVE KPI DASHBOARD</t>
  </si>
  <si>
    <t>Key performance indicators — Historical (2021–2025) | Forecast (2026E–2030E) | Valuation Summary</t>
  </si>
  <si>
    <t>Revenue (2025A)</t>
  </si>
  <si>
    <t>€ million</t>
  </si>
  <si>
    <t>EBIT (2025A)</t>
  </si>
  <si>
    <t>EBIT Margin (2025A)</t>
  </si>
  <si>
    <t>%</t>
  </si>
  <si>
    <t>ROE (2025A)</t>
  </si>
  <si>
    <t>EV/EBITDA (VW vs Peers)</t>
  </si>
  <si>
    <t>x multiple</t>
  </si>
  <si>
    <t>Intrinsic Price (DCF)</t>
  </si>
  <si>
    <t>€/share</t>
  </si>
  <si>
    <t>Market Price (Current)</t>
  </si>
  <si>
    <t>HISTORICAL PERFORMANCE SUMMARY (2021–2025)</t>
  </si>
  <si>
    <t>Metric</t>
  </si>
  <si>
    <t>Revenue (€M)</t>
  </si>
  <si>
    <t>Revenue Growth (%)</t>
  </si>
  <si>
    <t>EBIT (€M)</t>
  </si>
  <si>
    <t>EBIT Margin (%)</t>
  </si>
  <si>
    <t>Net Income VW (€M)</t>
  </si>
  <si>
    <t>Net Margin (%)</t>
  </si>
  <si>
    <t>ROE (%)</t>
  </si>
  <si>
    <t>EPS — Preferred (€)</t>
  </si>
  <si>
    <t>FORECAST SNAPSHOT — BASE CASE (2026E–2030E)</t>
  </si>
  <si>
    <t>FCFF (€M)</t>
  </si>
  <si>
    <t>VALUATION CONCLUSION</t>
  </si>
  <si>
    <t>Enterprise Value (DCF)</t>
  </si>
  <si>
    <t>Equity Value</t>
  </si>
  <si>
    <t>Intrinsic Price — DCF</t>
  </si>
  <si>
    <t>Current Market Price</t>
  </si>
  <si>
    <t>Average of All Methods</t>
  </si>
  <si>
    <t>VERDICT</t>
  </si>
  <si>
    <t xml:space="preserve"> ■  VOLKSWAGEN AG  |  EQUITY RESEARCH &amp; VALUATION  |</t>
  </si>
  <si>
    <t>VOLKSWAGEN AG</t>
  </si>
  <si>
    <t>Company Valuation &amp; Financial Modeling</t>
  </si>
  <si>
    <t>Discounted Cash Flow  ·  Trading Comparables  ·  Scenario Analysis  ·  WACC</t>
  </si>
  <si>
    <t>Ticker</t>
  </si>
  <si>
    <t>VOW3.DE (Preferred)  /  VOW.DE (Ordinary)</t>
  </si>
  <si>
    <t>Exchange</t>
  </si>
  <si>
    <t>Frankfurt Stock Exchange (XETRA)</t>
  </si>
  <si>
    <t>Headquarters</t>
  </si>
  <si>
    <t>Wolfsburg, Lower Saxony, Germany</t>
  </si>
  <si>
    <t>Currency</t>
  </si>
  <si>
    <t>EUR (€ million)</t>
  </si>
  <si>
    <t>Data Range</t>
  </si>
  <si>
    <t>FY2021–FY2025 Historical  |  FY2026E–FY2030E Forecast</t>
  </si>
  <si>
    <t>Data Source</t>
  </si>
  <si>
    <t>Volkswagen AG Annual Reports 2022–2025 + Q1 2026 Interim Report</t>
  </si>
  <si>
    <t>Analysis Date</t>
  </si>
  <si>
    <t>Prepared By</t>
  </si>
  <si>
    <t>Shekhar Tanwar</t>
  </si>
  <si>
    <t>■  MODEL STRUCTURE</t>
  </si>
  <si>
    <t>No.</t>
  </si>
  <si>
    <t>Sheet Name</t>
  </si>
  <si>
    <t>Description</t>
  </si>
  <si>
    <t>Cover</t>
  </si>
  <si>
    <t>Assumptions</t>
  </si>
  <si>
    <t>Historical P&amp;L</t>
  </si>
  <si>
    <t>Ratio Analysis</t>
  </si>
  <si>
    <t>Revenue Forecast</t>
  </si>
  <si>
    <t>Projected P&amp;L</t>
  </si>
  <si>
    <t>FCF Build</t>
  </si>
  <si>
    <t>DCF Valuation</t>
  </si>
  <si>
    <t>Comps</t>
  </si>
  <si>
    <t>Sensitivity</t>
  </si>
  <si>
    <t>Football Field</t>
  </si>
  <si>
    <t>KPI Dashboard</t>
  </si>
  <si>
    <t>Professional cover page</t>
  </si>
  <si>
    <t>WACC inputs, growth rates, margin assumptions</t>
  </si>
  <si>
    <t>Income Statement FY2021–FY2025</t>
  </si>
  <si>
    <t>Profitability · Liquidity · Leverage · Efficiency</t>
  </si>
  <si>
    <t>Bear / Base / Bull 3-scenario model 2026–2030</t>
  </si>
  <si>
    <t>Forecasted Income Statement 2026–2030</t>
  </si>
  <si>
    <t>Free Cash Flow to Firm — EBIT → FCFF</t>
  </si>
  <si>
    <t>Weighted Average Cost of Capital via CAPM</t>
  </si>
  <si>
    <t>EV via DCF · Bridge · Intrinsic Price = €546.55</t>
  </si>
  <si>
    <t>8 peer companies · Trading multiples</t>
  </si>
  <si>
    <t>2D Table: WACC × Terminal Growth Rate</t>
  </si>
  <si>
    <t>Valuation range chart — all methods</t>
  </si>
  <si>
    <t>Executive summary · Charts · Verdict</t>
  </si>
  <si>
    <t>★  VALUATION RESULT</t>
  </si>
  <si>
    <t>INTRINSIC PRICE</t>
  </si>
  <si>
    <t>Current Market Price: €86.40  |  Upside: +532.6%  |  Method: DCF Base Case</t>
  </si>
  <si>
    <t>DISCLAIMER: This model is prepared solely for educational/MBA purposes.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</si>
</sst>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%"/>
    <numFmt numFmtId="165" formatCode="#,##0;\(#,##0\);&quot;-&quot;"/>
    <numFmt numFmtId="166" formatCode="#,##0;\(#,##0\);\-"/>
    <numFmt numFmtId="167" formatCode="0.0%;\-0.0%;&quot;-&quot;"/>
    <numFmt numFmtId="168" formatCode="0.0%;0.0%;&quot;-&quot;"/>
    <numFmt numFmtId="169" formatCode="#,##0.00;\(#,##0.00\);&quot;-&quot;"/>
    <numFmt numFmtId="170" formatCode="0.0%;\-0.0%;\-"/>
    <numFmt numFmtId="171" formatCode="#,##0.0"/>
    <numFmt numFmtId="172" formatCode="0.0\x;\(0.0\x\);&quot;-&quot;"/>
    <numFmt numFmtId="173" formatCode="0;\(0\);&quot;-&quot;"/>
    <numFmt numFmtId="174" formatCode="0.00\x;\(0.00\x\);&quot;-&quot;"/>
    <numFmt numFmtId="175" formatCode="\€#,##0.00;\(\€#,##0.00\);&quot;-&quot;"/>
    <numFmt numFmtId="176" formatCode="0.00%;\-0.00%;&quot;-&quot;"/>
    <numFmt numFmtId="177" formatCode="0.00;\(0.00\);&quot;-&quot;"/>
    <numFmt numFmtId="178" formatCode="#,##0.0;\(#,##0.0\);&quot;-&quot;"/>
    <numFmt numFmtId="179" formatCode="0.000\x;\(0.000\x\);&quot;-&quot;"/>
    <numFmt numFmtId="180" formatCode="\€#,##0.00"/>
    <numFmt numFmtId="181" formatCode="\€#,##0;\(\€#,##0\);&quot;-&quot;"/>
    <numFmt numFmtId="182" formatCode="#,##0;\(#,##0\)"/>
    <numFmt numFmtId="183" formatCode="0.0%;\-0.0%"/>
    <numFmt numFmtId="184" formatCode="0.0\x;\(0.0\x\)"/>
  </numFmts>
  <fonts count="6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sz val="11"/>
      <color theme="4" tint="0.39997558519241921"/>
      <name val="Aptos Narrow"/>
      <family val="2"/>
      <scheme val="minor"/>
    </font>
    <font>
      <sz val="9"/>
      <color theme="1"/>
      <name val="Calibri"/>
      <family val="2"/>
    </font>
    <font>
      <sz val="9"/>
      <color theme="7" tint="-0.249977111117893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3" tint="9.9978637043366805E-2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8000"/>
      <name val="Calibri"/>
      <family val="2"/>
    </font>
    <font>
      <i/>
      <sz val="8"/>
      <color theme="7" tint="-0.249977111117893"/>
      <name val="Calibri"/>
      <family val="2"/>
    </font>
    <font>
      <b/>
      <sz val="9"/>
      <color rgb="FF000000"/>
      <name val="Calibri"/>
      <family val="2"/>
    </font>
    <font>
      <b/>
      <sz val="8"/>
      <color theme="7" tint="-0.249977111117893"/>
      <name val="Calibri"/>
      <family val="2"/>
    </font>
    <font>
      <sz val="9"/>
      <color theme="7" tint="-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8000"/>
      <name val="Aptos Narrow"/>
      <family val="2"/>
      <scheme val="minor"/>
    </font>
    <font>
      <i/>
      <sz val="8"/>
      <color theme="3" tint="9.9978637043366805E-2"/>
      <name val="Calibri"/>
      <family val="2"/>
    </font>
    <font>
      <i/>
      <sz val="9"/>
      <color theme="0" tint="-0.34998626667073579"/>
      <name val="Aptos Narrow"/>
      <family val="2"/>
      <scheme val="minor"/>
    </font>
    <font>
      <sz val="9"/>
      <color theme="1" tint="4.9989318521683403E-2"/>
      <name val="Aptos Narrow"/>
      <family val="2"/>
      <scheme val="minor"/>
    </font>
    <font>
      <i/>
      <sz val="9"/>
      <color theme="0" tint="-0.499984740745262"/>
      <name val="Calibri"/>
      <family val="2"/>
    </font>
    <font>
      <i/>
      <sz val="8"/>
      <color rgb="FFFF0000"/>
      <name val="Aptos Narrow"/>
      <family val="2"/>
      <scheme val="minor"/>
    </font>
    <font>
      <sz val="8"/>
      <color theme="3" tint="9.9978637043366805E-2"/>
      <name val="Calibri"/>
      <family val="2"/>
    </font>
    <font>
      <i/>
      <sz val="8"/>
      <color rgb="FFFF0000"/>
      <name val="Calibri"/>
      <family val="2"/>
    </font>
    <font>
      <sz val="9"/>
      <color theme="1" tint="4.9989318521683403E-2"/>
      <name val="Calibri"/>
      <family val="2"/>
    </font>
    <font>
      <b/>
      <sz val="9"/>
      <color theme="7" tint="-0.249977111117893"/>
      <name val="Calibri"/>
      <family val="2"/>
    </font>
    <font>
      <b/>
      <sz val="9"/>
      <color rgb="FF008000"/>
      <name val="Calibri"/>
      <family val="2"/>
    </font>
    <font>
      <b/>
      <i/>
      <sz val="9"/>
      <color theme="3" tint="9.9978637043366805E-2"/>
      <name val="Aptos Narrow"/>
      <family val="2"/>
      <scheme val="minor"/>
    </font>
    <font>
      <b/>
      <i/>
      <sz val="9"/>
      <color rgb="FF008000"/>
      <name val="Aptos Narrow"/>
      <family val="2"/>
      <scheme val="minor"/>
    </font>
    <font>
      <b/>
      <sz val="9"/>
      <color rgb="FFFF0000"/>
      <name val="Calibri"/>
      <family val="2"/>
    </font>
    <font>
      <b/>
      <i/>
      <sz val="9"/>
      <color rgb="FFFF0000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3" tint="9.9978637043366805E-2"/>
      <name val="Calibri"/>
      <family val="2"/>
    </font>
    <font>
      <i/>
      <sz val="9"/>
      <color theme="0" tint="-0.249977111117893"/>
      <name val="Calibri"/>
      <family val="2"/>
    </font>
    <font>
      <sz val="9"/>
      <name val="Calibri"/>
      <family val="2"/>
    </font>
    <font>
      <b/>
      <sz val="9"/>
      <color theme="3" tint="0.499984740745262"/>
      <name val="Calibri"/>
      <family val="2"/>
    </font>
    <font>
      <b/>
      <sz val="10"/>
      <color theme="3" tint="9.9978637043366805E-2"/>
      <name val="Calibri"/>
      <family val="2"/>
    </font>
    <font>
      <i/>
      <sz val="9"/>
      <color theme="0" tint="-0.34998626667073579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i/>
      <sz val="8"/>
      <color theme="0" tint="-0.34998626667073579"/>
      <name val="Calibri"/>
      <family val="2"/>
    </font>
    <font>
      <sz val="9"/>
      <color theme="5"/>
      <name val="Calibri"/>
      <family val="2"/>
    </font>
    <font>
      <sz val="9"/>
      <color theme="0" tint="-0.34998626667073579"/>
      <name val="Calibri"/>
      <family val="2"/>
    </font>
    <font>
      <sz val="11"/>
      <color theme="0"/>
      <name val="Aptos Narrow"/>
      <family val="2"/>
      <scheme val="minor"/>
    </font>
    <font>
      <i/>
      <sz val="9"/>
      <color theme="0"/>
      <name val="Calibri"/>
      <family val="2"/>
    </font>
    <font>
      <b/>
      <sz val="20"/>
      <color theme="0"/>
      <name val="Calibri"/>
      <family val="2"/>
    </font>
    <font>
      <i/>
      <sz val="10"/>
      <color theme="0"/>
      <name val="Calibri"/>
      <family val="2"/>
    </font>
    <font>
      <b/>
      <sz val="20"/>
      <color theme="3" tint="9.9978637043366805E-2"/>
      <name val="Calibri"/>
      <family val="2"/>
    </font>
    <font>
      <i/>
      <sz val="9"/>
      <color theme="3" tint="9.9978637043366805E-2"/>
      <name val="Calibri"/>
      <family val="2"/>
    </font>
    <font>
      <sz val="11"/>
      <color theme="3" tint="9.9978637043366805E-2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36"/>
      <color theme="0"/>
      <name val="Calibri"/>
      <family val="2"/>
    </font>
    <font>
      <sz val="11"/>
      <color theme="1"/>
      <name val="Calibri"/>
      <family val="2"/>
    </font>
    <font>
      <b/>
      <sz val="11"/>
      <color rgb="FFC8A63A"/>
      <name val="Calibri"/>
      <family val="2"/>
    </font>
    <font>
      <sz val="18"/>
      <color rgb="FFC8A63A"/>
      <name val="Calibri"/>
      <family val="2"/>
    </font>
    <font>
      <i/>
      <sz val="10"/>
      <color theme="0" tint="-0.34998626667073579"/>
      <name val="Calibri"/>
      <family val="2"/>
    </font>
    <font>
      <sz val="11"/>
      <color rgb="FFC8A63A"/>
      <name val="Aptos Narrow"/>
      <family val="2"/>
      <scheme val="minor"/>
    </font>
    <font>
      <b/>
      <sz val="9"/>
      <color rgb="FFC8A63A"/>
      <name val="Calibri"/>
      <family val="2"/>
    </font>
    <font>
      <sz val="9"/>
      <color theme="0"/>
      <name val="Calibri"/>
      <family val="2"/>
    </font>
    <font>
      <b/>
      <sz val="10"/>
      <color rgb="FFC8A63A"/>
      <name val="Calibri"/>
      <family val="2"/>
    </font>
    <font>
      <b/>
      <sz val="12"/>
      <color rgb="FFC8A63A"/>
      <name val="Calibri"/>
      <family val="2"/>
    </font>
    <font>
      <b/>
      <sz val="26"/>
      <color rgb="FFC8A63A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1F5B"/>
        <bgColor rgb="FF001040"/>
      </patternFill>
    </fill>
    <fill>
      <patternFill patternType="solid">
        <fgColor rgb="FFEBF3FB"/>
        <bgColor rgb="FFF9F9F9"/>
      </patternFill>
    </fill>
    <fill>
      <patternFill patternType="solid">
        <fgColor theme="3" tint="9.9978637043366805E-2"/>
        <bgColor rgb="FF001040"/>
      </patternFill>
    </fill>
    <fill>
      <patternFill patternType="solid">
        <fgColor rgb="FFFFFF00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4EFDF"/>
        <bgColor indexed="64"/>
      </patternFill>
    </fill>
    <fill>
      <patternFill patternType="solid">
        <fgColor rgb="FFFDE3E3"/>
        <bgColor indexed="64"/>
      </patternFill>
    </fill>
    <fill>
      <patternFill patternType="solid">
        <fgColor rgb="FFC8A83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C8A63A"/>
        <bgColor indexed="64"/>
      </patternFill>
    </fill>
    <fill>
      <patternFill patternType="solid">
        <fgColor rgb="FF960000"/>
        <bgColor indexed="64"/>
      </patternFill>
    </fill>
    <fill>
      <patternFill patternType="solid">
        <fgColor rgb="FF001040"/>
        <bgColor indexed="64"/>
      </patternFill>
    </fill>
    <fill>
      <patternFill patternType="solid">
        <fgColor rgb="FF001F5B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3087"/>
      </right>
      <top/>
      <bottom style="thin">
        <color rgb="FFFFFFFF"/>
      </bottom>
      <diagonal/>
    </border>
    <border>
      <left/>
      <right style="thin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1">
    <xf numFmtId="0" fontId="0" fillId="0" borderId="0" xfId="0"/>
    <xf numFmtId="3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164" fontId="5" fillId="0" borderId="0" xfId="1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0" fillId="0" borderId="0" xfId="0" applyFont="1"/>
    <xf numFmtId="3" fontId="10" fillId="0" borderId="0" xfId="0" applyNumberFormat="1" applyFont="1" applyAlignment="1">
      <alignment horizontal="center" vertical="center"/>
    </xf>
    <xf numFmtId="164" fontId="5" fillId="0" borderId="0" xfId="1" applyNumberFormat="1" applyFont="1"/>
    <xf numFmtId="164" fontId="10" fillId="0" borderId="0" xfId="1" applyNumberFormat="1" applyFont="1"/>
    <xf numFmtId="0" fontId="11" fillId="0" borderId="1" xfId="0" applyFont="1" applyBorder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168" fontId="5" fillId="0" borderId="0" xfId="1" applyNumberFormat="1" applyFont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70" fontId="14" fillId="0" borderId="0" xfId="0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3" fontId="18" fillId="0" borderId="0" xfId="0" applyNumberFormat="1" applyFont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3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7" fontId="20" fillId="0" borderId="0" xfId="1" applyNumberFormat="1" applyFont="1" applyAlignment="1">
      <alignment horizontal="center" vertical="center"/>
    </xf>
    <xf numFmtId="167" fontId="23" fillId="0" borderId="0" xfId="1" applyNumberFormat="1" applyFont="1" applyAlignment="1">
      <alignment horizontal="center" vertical="center"/>
    </xf>
    <xf numFmtId="172" fontId="5" fillId="0" borderId="0" xfId="0" applyNumberFormat="1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5" fillId="7" borderId="0" xfId="0" applyFont="1" applyFill="1" applyAlignment="1">
      <alignment vertical="center"/>
    </xf>
    <xf numFmtId="173" fontId="5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167" fontId="0" fillId="0" borderId="0" xfId="0" applyNumberFormat="1"/>
    <xf numFmtId="174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7" borderId="0" xfId="0" applyFont="1" applyFill="1" applyAlignment="1">
      <alignment vertical="center"/>
    </xf>
    <xf numFmtId="167" fontId="14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7" fontId="28" fillId="0" borderId="0" xfId="0" applyNumberFormat="1" applyFont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165" fontId="10" fillId="10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165" fontId="10" fillId="11" borderId="0" xfId="0" applyNumberFormat="1" applyFont="1" applyFill="1" applyAlignment="1">
      <alignment horizontal="center" vertical="center"/>
    </xf>
    <xf numFmtId="0" fontId="10" fillId="12" borderId="0" xfId="0" applyFont="1" applyFill="1"/>
    <xf numFmtId="165" fontId="10" fillId="12" borderId="0" xfId="0" applyNumberFormat="1" applyFont="1" applyFill="1" applyAlignment="1">
      <alignment horizontal="center" vertical="center"/>
    </xf>
    <xf numFmtId="167" fontId="13" fillId="6" borderId="2" xfId="0" applyNumberFormat="1" applyFont="1" applyFill="1" applyBorder="1" applyAlignment="1">
      <alignment horizontal="center" vertical="center"/>
    </xf>
    <xf numFmtId="167" fontId="10" fillId="10" borderId="0" xfId="0" applyNumberFormat="1" applyFont="1" applyFill="1" applyAlignment="1">
      <alignment horizontal="center" vertical="center"/>
    </xf>
    <xf numFmtId="167" fontId="10" fillId="11" borderId="0" xfId="0" applyNumberFormat="1" applyFont="1" applyFill="1" applyAlignment="1">
      <alignment horizontal="center" vertical="center"/>
    </xf>
    <xf numFmtId="167" fontId="10" fillId="12" borderId="0" xfId="0" applyNumberFormat="1" applyFont="1" applyFill="1" applyAlignment="1">
      <alignment horizontal="center" vertical="center"/>
    </xf>
    <xf numFmtId="0" fontId="8" fillId="0" borderId="0" xfId="0" applyFont="1"/>
    <xf numFmtId="165" fontId="5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vertical="center"/>
    </xf>
    <xf numFmtId="175" fontId="30" fillId="0" borderId="0" xfId="0" applyNumberFormat="1" applyFont="1" applyAlignment="1">
      <alignment horizontal="center" vertical="center"/>
    </xf>
    <xf numFmtId="175" fontId="10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0" fillId="13" borderId="0" xfId="0" applyFill="1"/>
    <xf numFmtId="165" fontId="8" fillId="13" borderId="0" xfId="0" applyNumberFormat="1" applyFont="1" applyFill="1" applyAlignment="1">
      <alignment horizontal="center" vertical="center"/>
    </xf>
    <xf numFmtId="0" fontId="0" fillId="2" borderId="0" xfId="0" applyFill="1"/>
    <xf numFmtId="176" fontId="14" fillId="0" borderId="0" xfId="0" applyNumberFormat="1" applyFont="1" applyAlignment="1">
      <alignment horizontal="center" vertical="center"/>
    </xf>
    <xf numFmtId="0" fontId="37" fillId="0" borderId="0" xfId="0" applyFont="1"/>
    <xf numFmtId="176" fontId="38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37" fillId="3" borderId="0" xfId="0" applyFont="1" applyFill="1"/>
    <xf numFmtId="0" fontId="39" fillId="3" borderId="0" xfId="0" applyFont="1" applyFill="1" applyAlignment="1">
      <alignment vertical="center"/>
    </xf>
    <xf numFmtId="176" fontId="39" fillId="3" borderId="0" xfId="0" applyNumberFormat="1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0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vertical="center"/>
    </xf>
    <xf numFmtId="0" fontId="40" fillId="13" borderId="0" xfId="0" applyFont="1" applyFill="1"/>
    <xf numFmtId="165" fontId="30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65" fontId="39" fillId="3" borderId="0" xfId="0" applyNumberFormat="1" applyFont="1" applyFill="1" applyAlignment="1">
      <alignment horizontal="center" vertical="center"/>
    </xf>
    <xf numFmtId="0" fontId="0" fillId="14" borderId="0" xfId="0" applyFill="1"/>
    <xf numFmtId="0" fontId="8" fillId="14" borderId="0" xfId="0" applyFont="1" applyFill="1" applyAlignment="1">
      <alignment vertical="center"/>
    </xf>
    <xf numFmtId="165" fontId="8" fillId="14" borderId="0" xfId="0" applyNumberFormat="1" applyFont="1" applyFill="1" applyAlignment="1">
      <alignment horizontal="center" vertical="center"/>
    </xf>
    <xf numFmtId="0" fontId="41" fillId="14" borderId="0" xfId="0" applyFont="1" applyFill="1" applyAlignment="1">
      <alignment vertical="center"/>
    </xf>
    <xf numFmtId="165" fontId="44" fillId="2" borderId="0" xfId="0" applyNumberFormat="1" applyFont="1" applyFill="1" applyAlignment="1">
      <alignment horizontal="center" vertical="center"/>
    </xf>
    <xf numFmtId="0" fontId="44" fillId="2" borderId="0" xfId="0" applyFont="1" applyFill="1"/>
    <xf numFmtId="175" fontId="40" fillId="13" borderId="0" xfId="0" applyNumberFormat="1" applyFont="1" applyFill="1" applyAlignment="1">
      <alignment horizontal="center" vertical="center"/>
    </xf>
    <xf numFmtId="165" fontId="40" fillId="13" borderId="0" xfId="0" applyNumberFormat="1" applyFont="1" applyFill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5" fontId="14" fillId="0" borderId="0" xfId="0" applyNumberFormat="1" applyFont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181" fontId="8" fillId="13" borderId="0" xfId="0" applyNumberFormat="1" applyFont="1" applyFill="1" applyAlignment="1">
      <alignment horizontal="center" vertical="center"/>
    </xf>
    <xf numFmtId="0" fontId="36" fillId="13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center" vertical="center"/>
    </xf>
    <xf numFmtId="181" fontId="5" fillId="13" borderId="0" xfId="0" applyNumberFormat="1" applyFont="1" applyFill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41" fillId="0" borderId="0" xfId="0" applyFont="1"/>
    <xf numFmtId="171" fontId="10" fillId="0" borderId="0" xfId="0" applyNumberFormat="1" applyFont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9" fillId="3" borderId="0" xfId="0" applyFont="1" applyFill="1"/>
    <xf numFmtId="0" fontId="2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7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180" fontId="8" fillId="13" borderId="0" xfId="0" applyNumberFormat="1" applyFont="1" applyFill="1" applyAlignment="1">
      <alignment horizontal="center" vertical="center"/>
    </xf>
    <xf numFmtId="172" fontId="29" fillId="3" borderId="0" xfId="0" applyNumberFormat="1" applyFont="1" applyFill="1" applyAlignment="1">
      <alignment horizontal="center" vertical="center"/>
    </xf>
    <xf numFmtId="17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167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80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165" fontId="5" fillId="3" borderId="0" xfId="0" applyNumberFormat="1" applyFont="1" applyFill="1" applyAlignment="1">
      <alignment horizontal="center" vertical="center"/>
    </xf>
    <xf numFmtId="0" fontId="36" fillId="19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41" fillId="0" borderId="0" xfId="0" applyFont="1" applyAlignment="1">
      <alignment horizontal="left" wrapText="1"/>
    </xf>
    <xf numFmtId="0" fontId="4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167" fontId="32" fillId="8" borderId="0" xfId="0" applyNumberFormat="1" applyFont="1" applyFill="1" applyAlignment="1">
      <alignment horizontal="left" vertical="center"/>
    </xf>
    <xf numFmtId="0" fontId="33" fillId="9" borderId="0" xfId="0" applyFont="1" applyFill="1" applyAlignment="1">
      <alignment horizontal="left" vertical="center"/>
    </xf>
    <xf numFmtId="0" fontId="34" fillId="9" borderId="0" xfId="0" applyFont="1" applyFill="1" applyAlignment="1">
      <alignment horizontal="left" vertical="center"/>
    </xf>
    <xf numFmtId="167" fontId="34" fillId="9" borderId="0" xfId="0" applyNumberFormat="1" applyFont="1" applyFill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167" fontId="31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5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43" fillId="15" borderId="0" xfId="0" applyFont="1" applyFill="1" applyAlignment="1">
      <alignment horizontal="center" vertical="center"/>
    </xf>
    <xf numFmtId="3" fontId="50" fillId="15" borderId="0" xfId="0" applyNumberFormat="1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182" fontId="50" fillId="2" borderId="0" xfId="0" applyNumberFormat="1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49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43" fillId="17" borderId="0" xfId="0" applyFont="1" applyFill="1" applyAlignment="1">
      <alignment horizontal="center" vertical="center"/>
    </xf>
    <xf numFmtId="183" fontId="50" fillId="17" borderId="0" xfId="0" applyNumberFormat="1" applyFont="1" applyFill="1" applyAlignment="1">
      <alignment horizontal="center" vertical="center"/>
    </xf>
    <xf numFmtId="0" fontId="49" fillId="17" borderId="0" xfId="0" applyFont="1" applyFill="1" applyAlignment="1">
      <alignment horizontal="center" vertical="center"/>
    </xf>
    <xf numFmtId="0" fontId="44" fillId="17" borderId="0" xfId="0" applyFont="1" applyFill="1" applyAlignment="1">
      <alignment horizontal="center" vertical="center"/>
    </xf>
    <xf numFmtId="0" fontId="43" fillId="16" borderId="0" xfId="0" applyFont="1" applyFill="1" applyAlignment="1">
      <alignment horizontal="center" vertical="center"/>
    </xf>
    <xf numFmtId="183" fontId="50" fillId="16" borderId="0" xfId="0" applyNumberFormat="1" applyFont="1" applyFill="1" applyAlignment="1">
      <alignment horizontal="center" vertical="center"/>
    </xf>
    <xf numFmtId="0" fontId="49" fillId="16" borderId="0" xfId="0" applyFont="1" applyFill="1" applyAlignment="1">
      <alignment horizontal="center" vertical="center"/>
    </xf>
    <xf numFmtId="0" fontId="48" fillId="16" borderId="0" xfId="0" applyFont="1" applyFill="1" applyAlignment="1">
      <alignment horizontal="center"/>
    </xf>
    <xf numFmtId="0" fontId="43" fillId="18" borderId="0" xfId="0" applyFont="1" applyFill="1" applyAlignment="1">
      <alignment horizontal="center" vertical="center"/>
    </xf>
    <xf numFmtId="184" fontId="50" fillId="18" borderId="0" xfId="0" applyNumberFormat="1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0" fillId="19" borderId="0" xfId="0" applyFont="1" applyFill="1" applyAlignment="1">
      <alignment horizontal="center" vertical="center"/>
    </xf>
    <xf numFmtId="180" fontId="52" fillId="19" borderId="0" xfId="0" applyNumberFormat="1" applyFont="1" applyFill="1" applyAlignment="1">
      <alignment horizontal="center" vertical="center"/>
    </xf>
    <xf numFmtId="0" fontId="53" fillId="19" borderId="0" xfId="0" applyFont="1" applyFill="1" applyAlignment="1">
      <alignment horizontal="center" vertical="center"/>
    </xf>
    <xf numFmtId="0" fontId="54" fillId="19" borderId="0" xfId="0" applyFont="1" applyFill="1" applyAlignment="1">
      <alignment horizontal="center" vertical="center"/>
    </xf>
    <xf numFmtId="0" fontId="43" fillId="20" borderId="0" xfId="0" applyFont="1" applyFill="1" applyAlignment="1">
      <alignment horizontal="center" vertical="center"/>
    </xf>
    <xf numFmtId="180" fontId="50" fillId="20" borderId="0" xfId="0" applyNumberFormat="1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4" fillId="2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6" fillId="19" borderId="0" xfId="0" applyFont="1" applyFill="1" applyAlignment="1">
      <alignment horizontal="center" vertical="center"/>
    </xf>
    <xf numFmtId="0" fontId="55" fillId="2" borderId="0" xfId="0" applyFont="1" applyFill="1"/>
    <xf numFmtId="0" fontId="56" fillId="17" borderId="0" xfId="0" applyFont="1" applyFill="1" applyAlignment="1">
      <alignment horizontal="left" vertical="center"/>
    </xf>
    <xf numFmtId="0" fontId="0" fillId="19" borderId="0" xfId="0" applyFill="1" applyAlignment="1">
      <alignment horizontal="center"/>
    </xf>
    <xf numFmtId="0" fontId="57" fillId="21" borderId="0" xfId="0" applyFont="1" applyFill="1" applyAlignment="1">
      <alignment horizontal="center" vertical="center"/>
    </xf>
    <xf numFmtId="0" fontId="60" fillId="21" borderId="0" xfId="0" applyFont="1" applyFill="1" applyAlignment="1">
      <alignment horizontal="center" vertical="center"/>
    </xf>
    <xf numFmtId="0" fontId="0" fillId="19" borderId="0" xfId="0" applyFill="1"/>
    <xf numFmtId="0" fontId="61" fillId="21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63" fillId="21" borderId="0" xfId="0" applyFont="1" applyFill="1" applyAlignment="1">
      <alignment horizontal="right" vertical="center"/>
    </xf>
    <xf numFmtId="0" fontId="63" fillId="2" borderId="0" xfId="0" applyFont="1" applyFill="1" applyAlignment="1">
      <alignment horizontal="right" vertical="center"/>
    </xf>
    <xf numFmtId="0" fontId="58" fillId="2" borderId="0" xfId="0" applyFont="1" applyFill="1"/>
    <xf numFmtId="0" fontId="58" fillId="19" borderId="0" xfId="0" applyFont="1" applyFill="1"/>
    <xf numFmtId="0" fontId="64" fillId="21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17" fontId="64" fillId="21" borderId="0" xfId="0" applyNumberFormat="1" applyFont="1" applyFill="1" applyAlignment="1">
      <alignment horizontal="left" vertical="center"/>
    </xf>
    <xf numFmtId="0" fontId="62" fillId="2" borderId="0" xfId="0" applyFont="1" applyFill="1"/>
    <xf numFmtId="0" fontId="65" fillId="2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59" fillId="22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180" fontId="67" fillId="22" borderId="0" xfId="0" applyNumberFormat="1" applyFont="1" applyFill="1" applyAlignment="1">
      <alignment horizontal="center" vertical="center"/>
    </xf>
    <xf numFmtId="0" fontId="45" fillId="22" borderId="0" xfId="0" applyFont="1" applyFill="1" applyAlignment="1">
      <alignment horizontal="center" vertical="center"/>
    </xf>
    <xf numFmtId="0" fontId="41" fillId="22" borderId="0" xfId="0" applyFont="1" applyFill="1" applyAlignment="1">
      <alignment horizontal="center" vertical="center"/>
    </xf>
    <xf numFmtId="0" fontId="66" fillId="22" borderId="0" xfId="0" applyFont="1" applyFill="1" applyAlignment="1">
      <alignment horizontal="center" vertical="center"/>
    </xf>
    <xf numFmtId="0" fontId="0" fillId="2" borderId="0" xfId="0" quotePrefix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8A63A"/>
      <color rgb="FF001F5B"/>
      <color rgb="FF001040"/>
      <color rgb="FF0066CC"/>
      <color rgb="FF960000"/>
      <color rgb="FFC8A83A"/>
      <color rgb="FF006400"/>
      <color rgb="FF008080"/>
      <color rgb="FF003087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9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VW Valuation Football Field (€/share)</a:t>
            </a:r>
            <a:endParaRPr lang="en-AU" sz="9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'Football Field'!$B$5</c:f>
              <c:strCache>
                <c:ptCount val="1"/>
                <c:pt idx="0">
                  <c:v>Low (€)</c:v>
                </c:pt>
              </c:strCache>
            </c:strRef>
          </c:tx>
          <c:spPr>
            <a:solidFill>
              <a:srgbClr val="D6EAF8"/>
            </a:solidFill>
            <a:ln>
              <a:noFill/>
            </a:ln>
            <a:effectLst/>
          </c:spPr>
          <c:invertIfNegative val="0"/>
          <c:cat>
            <c:strRef>
              <c:f>'Football Field'!$A$6:$A$12</c:f>
              <c:strCache>
                <c:ptCount val="7"/>
                <c:pt idx="0">
                  <c:v>DCF — Base Case</c:v>
                </c:pt>
                <c:pt idx="1">
                  <c:v>DCF — Bull Case</c:v>
                </c:pt>
                <c:pt idx="2">
                  <c:v>DCF — Bear Case</c:v>
                </c:pt>
                <c:pt idx="3">
                  <c:v>EV/EBITDA Comps</c:v>
                </c:pt>
                <c:pt idx="4">
                  <c:v>EV/Revenue Comps</c:v>
                </c:pt>
                <c:pt idx="5">
                  <c:v>P/E Comps</c:v>
                </c:pt>
                <c:pt idx="6">
                  <c:v>52-Week Trading Range</c:v>
                </c:pt>
              </c:strCache>
            </c:strRef>
          </c:cat>
          <c:val>
            <c:numRef>
              <c:f>'Football Field'!$B$6:$B$12</c:f>
              <c:numCache>
                <c:formatCode>\€#,##0.00;\(\€#,##0.00\);"-"</c:formatCode>
                <c:ptCount val="7"/>
                <c:pt idx="0">
                  <c:v>350</c:v>
                </c:pt>
                <c:pt idx="1">
                  <c:v>500</c:v>
                </c:pt>
                <c:pt idx="2">
                  <c:v>150</c:v>
                </c:pt>
                <c:pt idx="3">
                  <c:v>280</c:v>
                </c:pt>
                <c:pt idx="4">
                  <c:v>150</c:v>
                </c:pt>
                <c:pt idx="5">
                  <c:v>60</c:v>
                </c:pt>
                <c:pt idx="6">
                  <c:v>79.2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A-4354-99D2-16E17FBEAAB5}"/>
            </c:ext>
          </c:extLst>
        </c:ser>
        <c:ser>
          <c:idx val="1"/>
          <c:order val="1"/>
          <c:tx>
            <c:strRef>
              <c:f>'Football Field'!$C$5</c:f>
              <c:strCache>
                <c:ptCount val="1"/>
                <c:pt idx="0">
                  <c:v>Mid-Point (€)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Field'!$A$6:$A$12</c:f>
              <c:strCache>
                <c:ptCount val="7"/>
                <c:pt idx="0">
                  <c:v>DCF — Base Case</c:v>
                </c:pt>
                <c:pt idx="1">
                  <c:v>DCF — Bull Case</c:v>
                </c:pt>
                <c:pt idx="2">
                  <c:v>DCF — Bear Case</c:v>
                </c:pt>
                <c:pt idx="3">
                  <c:v>EV/EBITDA Comps</c:v>
                </c:pt>
                <c:pt idx="4">
                  <c:v>EV/Revenue Comps</c:v>
                </c:pt>
                <c:pt idx="5">
                  <c:v>P/E Comps</c:v>
                </c:pt>
                <c:pt idx="6">
                  <c:v>52-Week Trading Range</c:v>
                </c:pt>
              </c:strCache>
            </c:strRef>
          </c:cat>
          <c:val>
            <c:numRef>
              <c:f>'Football Field'!$C$6:$C$12</c:f>
              <c:numCache>
                <c:formatCode>\€#,##0.00;\(\€#,##0.00\);"-"</c:formatCode>
                <c:ptCount val="7"/>
                <c:pt idx="0">
                  <c:v>546.55389730980642</c:v>
                </c:pt>
                <c:pt idx="1">
                  <c:v>800</c:v>
                </c:pt>
                <c:pt idx="2">
                  <c:v>250</c:v>
                </c:pt>
                <c:pt idx="3">
                  <c:v>405.73437633581256</c:v>
                </c:pt>
                <c:pt idx="4">
                  <c:v>298.06593765301125</c:v>
                </c:pt>
                <c:pt idx="5">
                  <c:v>99.835427887492514</c:v>
                </c:pt>
                <c:pt idx="6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A-4354-99D2-16E17FBEAAB5}"/>
            </c:ext>
          </c:extLst>
        </c:ser>
        <c:ser>
          <c:idx val="2"/>
          <c:order val="2"/>
          <c:tx>
            <c:strRef>
              <c:f>'Football Field'!$D$5</c:f>
              <c:strCache>
                <c:ptCount val="1"/>
                <c:pt idx="0">
                  <c:v>High (€)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Field'!$A$6:$A$12</c:f>
              <c:strCache>
                <c:ptCount val="7"/>
                <c:pt idx="0">
                  <c:v>DCF — Base Case</c:v>
                </c:pt>
                <c:pt idx="1">
                  <c:v>DCF — Bull Case</c:v>
                </c:pt>
                <c:pt idx="2">
                  <c:v>DCF — Bear Case</c:v>
                </c:pt>
                <c:pt idx="3">
                  <c:v>EV/EBITDA Comps</c:v>
                </c:pt>
                <c:pt idx="4">
                  <c:v>EV/Revenue Comps</c:v>
                </c:pt>
                <c:pt idx="5">
                  <c:v>P/E Comps</c:v>
                </c:pt>
                <c:pt idx="6">
                  <c:v>52-Week Trading Range</c:v>
                </c:pt>
              </c:strCache>
            </c:strRef>
          </c:cat>
          <c:val>
            <c:numRef>
              <c:f>'Football Field'!$D$6:$D$12</c:f>
              <c:numCache>
                <c:formatCode>\€#,##0.00;\(\€#,##0.00\);"-"</c:formatCode>
                <c:ptCount val="7"/>
                <c:pt idx="0">
                  <c:v>750</c:v>
                </c:pt>
                <c:pt idx="1">
                  <c:v>1100</c:v>
                </c:pt>
                <c:pt idx="2">
                  <c:v>400</c:v>
                </c:pt>
                <c:pt idx="3">
                  <c:v>550</c:v>
                </c:pt>
                <c:pt idx="4">
                  <c:v>400</c:v>
                </c:pt>
                <c:pt idx="5">
                  <c:v>160</c:v>
                </c:pt>
                <c:pt idx="6">
                  <c:v>115.85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A-4354-99D2-16E17FBEA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4410511"/>
        <c:axId val="159440235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'Football Field'!$E$5</c15:sqref>
                        </c15:formulaRef>
                      </c:ext>
                    </c:extLst>
                    <c:strCache>
                      <c:ptCount val="1"/>
                      <c:pt idx="0">
                        <c:v>Current Price (€)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'Football Field'!$A$6:$A$12</c15:sqref>
                        </c15:formulaRef>
                      </c:ext>
                    </c:extLst>
                    <c:strCache>
                      <c:ptCount val="7"/>
                      <c:pt idx="0">
                        <c:v>DCF — Base Case</c:v>
                      </c:pt>
                      <c:pt idx="1">
                        <c:v>DCF — Bull Case</c:v>
                      </c:pt>
                      <c:pt idx="2">
                        <c:v>DCF — Bear Case</c:v>
                      </c:pt>
                      <c:pt idx="3">
                        <c:v>EV/EBITDA Comps</c:v>
                      </c:pt>
                      <c:pt idx="4">
                        <c:v>EV/Revenue Comps</c:v>
                      </c:pt>
                      <c:pt idx="5">
                        <c:v>P/E Comps</c:v>
                      </c:pt>
                      <c:pt idx="6">
                        <c:v>52-Week Trading Range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'Football Field'!$E$6:$E$12</c15:sqref>
                        </c15:formulaRef>
                      </c:ext>
                    </c:extLst>
                    <c:numCache>
                      <c:formatCode>\€#,##0.00;\(\€#,##0.00\);"-"</c:formatCode>
                      <c:ptCount val="7"/>
                      <c:pt idx="0">
                        <c:v>86.4</c:v>
                      </c:pt>
                      <c:pt idx="1">
                        <c:v>86.4</c:v>
                      </c:pt>
                      <c:pt idx="2">
                        <c:v>86.4</c:v>
                      </c:pt>
                      <c:pt idx="3">
                        <c:v>86.4</c:v>
                      </c:pt>
                      <c:pt idx="4">
                        <c:v>86.4</c:v>
                      </c:pt>
                      <c:pt idx="5">
                        <c:v>86.4</c:v>
                      </c:pt>
                      <c:pt idx="6">
                        <c:v>86.4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9EA-4354-99D2-16E17FBEAAB5}"/>
                  </c:ext>
                </c:extLst>
              </c15:ser>
            </c15:filteredBarSeries>
          </c:ext>
        </c:extLst>
      </c:barChart>
      <c:catAx>
        <c:axId val="159441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02351"/>
        <c:crosses val="autoZero"/>
        <c:auto val="1"/>
        <c:lblAlgn val="ctr"/>
        <c:lblOffset val="100"/>
        <c:noMultiLvlLbl val="0"/>
      </c:catAx>
      <c:valAx>
        <c:axId val="159440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.00;\(\€#,##0.0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1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9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Trend (2021–2025A)</a:t>
            </a:r>
            <a:endParaRPr lang="en-AU" sz="9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Dashboard'!$A$13</c:f>
              <c:strCache>
                <c:ptCount val="1"/>
                <c:pt idx="0">
                  <c:v>Revenue (€M)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'KPI Dashboard'!$B$12:$F$12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'KPI Dashboard'!$B$13:$F$13</c:f>
              <c:numCache>
                <c:formatCode>#,##0;\(#,##0\);"-"</c:formatCode>
                <c:ptCount val="5"/>
                <c:pt idx="0">
                  <c:v>250200</c:v>
                </c:pt>
                <c:pt idx="1">
                  <c:v>279232</c:v>
                </c:pt>
                <c:pt idx="2">
                  <c:v>322284</c:v>
                </c:pt>
                <c:pt idx="3">
                  <c:v>324656</c:v>
                </c:pt>
                <c:pt idx="4">
                  <c:v>321913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5-4981-BEE6-3DE7F2468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11711"/>
        <c:axId val="367721311"/>
      </c:lineChart>
      <c:catAx>
        <c:axId val="3677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21311"/>
        <c:crosses val="autoZero"/>
        <c:auto val="1"/>
        <c:lblAlgn val="ctr"/>
        <c:lblOffset val="100"/>
        <c:noMultiLvlLbl val="0"/>
      </c:catAx>
      <c:valAx>
        <c:axId val="3677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1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Dashboard'!$A$16</c:f>
              <c:strCache>
                <c:ptCount val="1"/>
                <c:pt idx="0">
                  <c:v>EBIT Margin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'KPI Dashboard'!$B$12:$F$12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'KPI Dashboard'!$B$16:$F$16</c:f>
              <c:numCache>
                <c:formatCode>0.0%;\-0.0%;"-"</c:formatCode>
                <c:ptCount val="5"/>
                <c:pt idx="0">
                  <c:v>7.7038369304556362E-2</c:v>
                </c:pt>
                <c:pt idx="1">
                  <c:v>7.9213700435480178E-2</c:v>
                </c:pt>
                <c:pt idx="2">
                  <c:v>7.0050017996549627E-2</c:v>
                </c:pt>
                <c:pt idx="3">
                  <c:v>5.8708294317677788E-2</c:v>
                </c:pt>
                <c:pt idx="4">
                  <c:v>2.7547815714183646E-2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4-4499-BFFE-863D30E9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70415"/>
        <c:axId val="118375215"/>
      </c:lineChart>
      <c:catAx>
        <c:axId val="1183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5215"/>
        <c:crosses val="autoZero"/>
        <c:auto val="1"/>
        <c:lblAlgn val="ctr"/>
        <c:lblOffset val="100"/>
        <c:noMultiLvlLbl val="0"/>
      </c:catAx>
      <c:valAx>
        <c:axId val="1183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-0.0%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584200</xdr:colOff>
      <xdr:row>2</xdr:row>
      <xdr:rowOff>171450</xdr:rowOff>
    </xdr:from>
    <xdr:to>
      <xdr:col>15</xdr:col>
      <xdr:colOff>19050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62464-104F-C762-A0EC-06680DC2E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190499</xdr:colOff>
      <xdr:row>11</xdr:row>
      <xdr:rowOff>6350</xdr:rowOff>
    </xdr:from>
    <xdr:to>
      <xdr:col>11</xdr:col>
      <xdr:colOff>25400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1F1D-B532-E725-32DB-481DADEE8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119945</xdr:colOff>
      <xdr:row>11</xdr:row>
      <xdr:rowOff>14111</xdr:rowOff>
    </xdr:from>
    <xdr:to>
      <xdr:col>16</xdr:col>
      <xdr:colOff>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E41A16-3D7E-E322-3CDA-228B840A2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rojects/VW_Financial_Model.xlsx" TargetMode="External"/><Relationship Id="rId2" Type="http://schemas.openxmlformats.org/officeDocument/2006/relationships/externalLinkPath" Target="file:///D:\Projects\VW_Financial_Model.xlsx" TargetMode="External"/><Relationship Id="rId1" Type="http://schemas.openxmlformats.org/officeDocument/2006/relationships/externalLinkPath" Target="/Projects/VW_Financial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Assumptions"/>
      <sheetName val="Historical P&amp;L"/>
      <sheetName val="Ratio Analysis"/>
      <sheetName val="Revenue Forecast"/>
      <sheetName val="Projected P&amp;L"/>
      <sheetName val="FCF Build"/>
      <sheetName val="WACC"/>
      <sheetName val="DCF Valuation"/>
      <sheetName val="Comps"/>
      <sheetName val="Sensitivity"/>
      <sheetName val="Football Field"/>
      <sheetName val="KPI Dashboard"/>
    </sheetNames>
    <sheetDataSet>
      <sheetData sheetId="0"/>
      <sheetData sheetId="1">
        <row r="8">
          <cell r="C8">
            <v>0.03</v>
          </cell>
          <cell r="D8">
            <v>3.5000000000000003E-2</v>
          </cell>
          <cell r="E8">
            <v>0.03</v>
          </cell>
          <cell r="F8">
            <v>2.5000000000000001E-2</v>
          </cell>
        </row>
        <row r="50">
          <cell r="C50">
            <v>5.3159471365638769E-2</v>
          </cell>
        </row>
        <row r="54">
          <cell r="C54">
            <v>0.02</v>
          </cell>
        </row>
        <row r="55">
          <cell r="C55">
            <v>0</v>
          </cell>
        </row>
        <row r="57">
          <cell r="C57">
            <v>0</v>
          </cell>
        </row>
        <row r="58">
          <cell r="C58">
            <v>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C5B0-7BBE-4EC6-B3D0-B35110161569}">
  <sheetPr>
    <tabColor theme="3" tint="9.9978637043366805E-2"/>
  </sheetPr>
  <dimension ref="A1:O54"/>
  <sheetViews>
    <sheetView showGridLines="0" zoomScale="90" zoomScaleNormal="90" workbookViewId="0">
      <selection activeCell="E25" sqref="E25:M25"/>
    </sheetView>
  </sheetViews>
  <sheetFormatPr defaultRowHeight="14.5" x14ac:dyDescent="0.35"/>
  <cols>
    <col min="1" max="2" width="8.6328125" style="79" customWidth="1"/>
    <col min="3" max="5" width="16.6328125" style="79" customWidth="1"/>
    <col min="6" max="13" width="12.6328125" style="79" customWidth="1"/>
    <col min="14" max="16384" width="8.7265625" style="79"/>
  </cols>
  <sheetData>
    <row r="1" spans="1:15" s="203" customFormat="1" ht="30" customHeight="1" x14ac:dyDescent="0.5">
      <c r="A1" s="204" t="s">
        <v>434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</row>
    <row r="2" spans="1:15" ht="4" customHeight="1" x14ac:dyDescent="0.3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5" ht="4" customHeight="1" x14ac:dyDescent="0.35"/>
    <row r="4" spans="1:15" ht="4" customHeight="1" x14ac:dyDescent="0.35"/>
    <row r="5" spans="1:15" x14ac:dyDescent="0.35">
      <c r="A5" s="206" t="s">
        <v>435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</row>
    <row r="6" spans="1:15" x14ac:dyDescent="0.35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</row>
    <row r="7" spans="1:15" x14ac:dyDescent="0.35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</row>
    <row r="8" spans="1:15" x14ac:dyDescent="0.35">
      <c r="A8" s="207" t="s">
        <v>436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</row>
    <row r="9" spans="1:15" x14ac:dyDescent="0.35">
      <c r="A9" s="207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O9" s="230"/>
    </row>
    <row r="10" spans="1:15" x14ac:dyDescent="0.35">
      <c r="A10" s="209" t="s">
        <v>437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</row>
    <row r="11" spans="1:15" ht="3" customHeight="1" x14ac:dyDescent="0.35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</row>
    <row r="13" spans="1:15" x14ac:dyDescent="0.35">
      <c r="A13" s="211" t="s">
        <v>438</v>
      </c>
      <c r="B13" s="211"/>
      <c r="C13" s="211"/>
      <c r="D13" s="211"/>
      <c r="E13" s="215" t="s">
        <v>439</v>
      </c>
      <c r="F13" s="215"/>
      <c r="G13" s="215"/>
      <c r="H13" s="215"/>
      <c r="I13" s="215"/>
      <c r="J13" s="215"/>
      <c r="K13" s="215"/>
      <c r="L13" s="215"/>
      <c r="M13" s="215"/>
      <c r="N13" s="210"/>
    </row>
    <row r="14" spans="1:15" x14ac:dyDescent="0.35">
      <c r="A14" s="213"/>
      <c r="B14" s="213"/>
      <c r="C14" s="213"/>
      <c r="D14" s="213"/>
      <c r="E14" s="216"/>
      <c r="F14" s="216"/>
      <c r="G14" s="216"/>
      <c r="H14" s="216"/>
      <c r="I14" s="216"/>
      <c r="J14" s="216"/>
      <c r="K14" s="216"/>
      <c r="L14" s="216"/>
      <c r="M14" s="216"/>
      <c r="N14" s="210"/>
    </row>
    <row r="15" spans="1:15" x14ac:dyDescent="0.35">
      <c r="A15" s="211" t="s">
        <v>440</v>
      </c>
      <c r="B15" s="211"/>
      <c r="C15" s="211"/>
      <c r="D15" s="211"/>
      <c r="E15" s="215" t="s">
        <v>441</v>
      </c>
      <c r="F15" s="215"/>
      <c r="G15" s="215"/>
      <c r="H15" s="215"/>
      <c r="I15" s="215"/>
      <c r="J15" s="215"/>
      <c r="K15" s="215"/>
      <c r="L15" s="215"/>
      <c r="M15" s="215"/>
      <c r="N15" s="210"/>
    </row>
    <row r="16" spans="1:15" x14ac:dyDescent="0.35">
      <c r="A16" s="213"/>
      <c r="B16" s="213"/>
      <c r="C16" s="213"/>
      <c r="D16" s="213"/>
      <c r="E16" s="216"/>
      <c r="F16" s="216"/>
      <c r="G16" s="216"/>
      <c r="H16" s="216"/>
      <c r="I16" s="216"/>
      <c r="J16" s="216"/>
      <c r="K16" s="216"/>
      <c r="L16" s="216"/>
      <c r="M16" s="216"/>
      <c r="N16" s="210"/>
    </row>
    <row r="17" spans="1:14" x14ac:dyDescent="0.35">
      <c r="A17" s="211" t="s">
        <v>442</v>
      </c>
      <c r="B17" s="211"/>
      <c r="C17" s="211"/>
      <c r="D17" s="211"/>
      <c r="E17" s="215" t="s">
        <v>443</v>
      </c>
      <c r="F17" s="215"/>
      <c r="G17" s="215"/>
      <c r="H17" s="215"/>
      <c r="I17" s="215"/>
      <c r="J17" s="215"/>
      <c r="K17" s="215"/>
      <c r="L17" s="215"/>
      <c r="M17" s="215"/>
      <c r="N17" s="210"/>
    </row>
    <row r="18" spans="1:14" x14ac:dyDescent="0.35">
      <c r="A18" s="213"/>
      <c r="B18" s="213"/>
      <c r="C18" s="213"/>
      <c r="D18" s="213"/>
      <c r="E18" s="216"/>
      <c r="F18" s="216"/>
      <c r="G18" s="216"/>
      <c r="H18" s="216"/>
      <c r="I18" s="216"/>
      <c r="J18" s="216"/>
      <c r="K18" s="216"/>
      <c r="L18" s="216"/>
      <c r="M18" s="216"/>
      <c r="N18" s="210"/>
    </row>
    <row r="19" spans="1:14" x14ac:dyDescent="0.35">
      <c r="A19" s="211" t="s">
        <v>444</v>
      </c>
      <c r="B19" s="211"/>
      <c r="C19" s="211"/>
      <c r="D19" s="211"/>
      <c r="E19" s="215" t="s">
        <v>445</v>
      </c>
      <c r="F19" s="215"/>
      <c r="G19" s="215"/>
      <c r="H19" s="215"/>
      <c r="I19" s="215"/>
      <c r="J19" s="215"/>
      <c r="K19" s="215"/>
      <c r="L19" s="215"/>
      <c r="M19" s="215"/>
      <c r="N19" s="212"/>
    </row>
    <row r="20" spans="1:14" x14ac:dyDescent="0.35">
      <c r="A20" s="213"/>
      <c r="B20" s="213"/>
      <c r="C20" s="213"/>
      <c r="D20" s="213"/>
      <c r="E20" s="216"/>
      <c r="F20" s="216"/>
      <c r="G20" s="216"/>
      <c r="H20" s="216"/>
      <c r="I20" s="216"/>
      <c r="J20" s="216"/>
      <c r="K20" s="216"/>
      <c r="L20" s="216"/>
      <c r="M20" s="216"/>
      <c r="N20" s="210"/>
    </row>
    <row r="21" spans="1:14" x14ac:dyDescent="0.35">
      <c r="A21" s="211" t="s">
        <v>446</v>
      </c>
      <c r="B21" s="211"/>
      <c r="C21" s="211"/>
      <c r="D21" s="211"/>
      <c r="E21" s="215" t="s">
        <v>447</v>
      </c>
      <c r="F21" s="215"/>
      <c r="G21" s="215"/>
      <c r="H21" s="215"/>
      <c r="I21" s="215"/>
      <c r="J21" s="215"/>
      <c r="K21" s="215"/>
      <c r="L21" s="215"/>
      <c r="M21" s="215"/>
      <c r="N21" s="212"/>
    </row>
    <row r="22" spans="1:14" x14ac:dyDescent="0.35">
      <c r="A22" s="213"/>
      <c r="B22" s="213"/>
      <c r="C22" s="213"/>
      <c r="D22" s="213"/>
      <c r="E22" s="216"/>
      <c r="F22" s="216"/>
      <c r="G22" s="216"/>
      <c r="H22" s="216"/>
      <c r="I22" s="216"/>
      <c r="J22" s="216"/>
      <c r="K22" s="216"/>
      <c r="L22" s="216"/>
      <c r="M22" s="216"/>
      <c r="N22" s="210"/>
    </row>
    <row r="23" spans="1:14" x14ac:dyDescent="0.35">
      <c r="A23" s="211" t="s">
        <v>448</v>
      </c>
      <c r="B23" s="211"/>
      <c r="C23" s="211"/>
      <c r="D23" s="211"/>
      <c r="E23" s="215" t="s">
        <v>449</v>
      </c>
      <c r="F23" s="215"/>
      <c r="G23" s="215"/>
      <c r="H23" s="215"/>
      <c r="I23" s="215"/>
      <c r="J23" s="215"/>
      <c r="K23" s="215"/>
      <c r="L23" s="215"/>
      <c r="M23" s="215"/>
      <c r="N23" s="212"/>
    </row>
    <row r="24" spans="1:14" x14ac:dyDescent="0.35">
      <c r="A24" s="213"/>
      <c r="B24" s="213"/>
      <c r="C24" s="213"/>
      <c r="D24" s="213"/>
      <c r="E24" s="216"/>
      <c r="F24" s="216"/>
      <c r="G24" s="216"/>
      <c r="H24" s="216"/>
      <c r="I24" s="216"/>
      <c r="J24" s="216"/>
      <c r="K24" s="216"/>
      <c r="L24" s="216"/>
      <c r="M24" s="216"/>
      <c r="N24" s="210"/>
    </row>
    <row r="25" spans="1:14" x14ac:dyDescent="0.35">
      <c r="A25" s="211" t="s">
        <v>450</v>
      </c>
      <c r="B25" s="211"/>
      <c r="C25" s="211"/>
      <c r="D25" s="211"/>
      <c r="E25" s="217">
        <v>46204</v>
      </c>
      <c r="F25" s="215"/>
      <c r="G25" s="215"/>
      <c r="H25" s="215"/>
      <c r="I25" s="215"/>
      <c r="J25" s="215"/>
      <c r="K25" s="215"/>
      <c r="L25" s="215"/>
      <c r="M25" s="215"/>
      <c r="N25" s="212"/>
    </row>
    <row r="26" spans="1:14" x14ac:dyDescent="0.35">
      <c r="A26" s="213"/>
      <c r="B26" s="213"/>
      <c r="C26" s="213"/>
      <c r="D26" s="213"/>
      <c r="E26" s="216"/>
      <c r="F26" s="216"/>
      <c r="G26" s="216"/>
      <c r="H26" s="216"/>
      <c r="I26" s="216"/>
      <c r="J26" s="216"/>
      <c r="K26" s="216"/>
      <c r="L26" s="216"/>
      <c r="M26" s="216"/>
      <c r="N26" s="210"/>
    </row>
    <row r="27" spans="1:14" x14ac:dyDescent="0.35">
      <c r="A27" s="211" t="s">
        <v>451</v>
      </c>
      <c r="B27" s="211"/>
      <c r="C27" s="211"/>
      <c r="D27" s="211"/>
      <c r="E27" s="215" t="s">
        <v>452</v>
      </c>
      <c r="F27" s="215"/>
      <c r="G27" s="215"/>
      <c r="H27" s="215"/>
      <c r="I27" s="215"/>
      <c r="J27" s="215"/>
      <c r="K27" s="215"/>
      <c r="L27" s="215"/>
      <c r="M27" s="215"/>
      <c r="N27" s="212"/>
    </row>
    <row r="28" spans="1:14" ht="3" customHeight="1" x14ac:dyDescent="0.35">
      <c r="A28" s="214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</row>
    <row r="30" spans="1:14" s="218" customFormat="1" ht="18" customHeight="1" x14ac:dyDescent="0.35">
      <c r="A30" s="219" t="s">
        <v>453</v>
      </c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</row>
    <row r="31" spans="1:14" x14ac:dyDescent="0.35">
      <c r="A31" s="219" t="s">
        <v>454</v>
      </c>
      <c r="B31" s="219"/>
      <c r="C31" s="219" t="s">
        <v>455</v>
      </c>
      <c r="D31" s="219"/>
      <c r="E31" s="219"/>
      <c r="F31" s="219" t="s">
        <v>456</v>
      </c>
      <c r="G31" s="219"/>
      <c r="H31" s="219"/>
      <c r="I31" s="219"/>
      <c r="J31" s="219"/>
      <c r="K31" s="219"/>
      <c r="L31" s="219"/>
      <c r="M31" s="219"/>
    </row>
    <row r="32" spans="1:14" ht="14" customHeight="1" x14ac:dyDescent="0.35">
      <c r="A32" s="221">
        <v>1</v>
      </c>
      <c r="B32" s="221"/>
      <c r="C32" s="221" t="s">
        <v>457</v>
      </c>
      <c r="D32" s="221"/>
      <c r="E32" s="221"/>
      <c r="F32" s="222" t="s">
        <v>469</v>
      </c>
      <c r="G32" s="222"/>
      <c r="H32" s="222"/>
      <c r="I32" s="222"/>
      <c r="J32" s="222"/>
      <c r="K32" s="222"/>
      <c r="L32" s="222"/>
      <c r="M32" s="222"/>
    </row>
    <row r="33" spans="1:13" ht="14" customHeight="1" x14ac:dyDescent="0.35">
      <c r="A33" s="220">
        <v>2</v>
      </c>
      <c r="B33" s="220"/>
      <c r="C33" s="220" t="s">
        <v>458</v>
      </c>
      <c r="D33" s="220"/>
      <c r="E33" s="220"/>
      <c r="F33" s="223" t="s">
        <v>470</v>
      </c>
      <c r="G33" s="223"/>
      <c r="H33" s="223"/>
      <c r="I33" s="223"/>
      <c r="J33" s="223"/>
      <c r="K33" s="223"/>
      <c r="L33" s="223"/>
      <c r="M33" s="223"/>
    </row>
    <row r="34" spans="1:13" ht="14" customHeight="1" x14ac:dyDescent="0.35">
      <c r="A34" s="221">
        <v>3</v>
      </c>
      <c r="B34" s="221"/>
      <c r="C34" s="221" t="s">
        <v>459</v>
      </c>
      <c r="D34" s="221"/>
      <c r="E34" s="221"/>
      <c r="F34" s="222" t="s">
        <v>471</v>
      </c>
      <c r="G34" s="222"/>
      <c r="H34" s="222"/>
      <c r="I34" s="222"/>
      <c r="J34" s="222"/>
      <c r="K34" s="222"/>
      <c r="L34" s="222"/>
      <c r="M34" s="222"/>
    </row>
    <row r="35" spans="1:13" ht="14" customHeight="1" x14ac:dyDescent="0.35">
      <c r="A35" s="220">
        <v>4</v>
      </c>
      <c r="B35" s="220"/>
      <c r="C35" s="220" t="s">
        <v>460</v>
      </c>
      <c r="D35" s="220"/>
      <c r="E35" s="220"/>
      <c r="F35" s="223" t="s">
        <v>472</v>
      </c>
      <c r="G35" s="223"/>
      <c r="H35" s="223"/>
      <c r="I35" s="223"/>
      <c r="J35" s="223"/>
      <c r="K35" s="223"/>
      <c r="L35" s="223"/>
      <c r="M35" s="223"/>
    </row>
    <row r="36" spans="1:13" ht="14" customHeight="1" x14ac:dyDescent="0.35">
      <c r="A36" s="221">
        <v>5</v>
      </c>
      <c r="B36" s="221"/>
      <c r="C36" s="221" t="s">
        <v>461</v>
      </c>
      <c r="D36" s="221"/>
      <c r="E36" s="221"/>
      <c r="F36" s="222" t="s">
        <v>473</v>
      </c>
      <c r="G36" s="222"/>
      <c r="H36" s="222"/>
      <c r="I36" s="222"/>
      <c r="J36" s="222"/>
      <c r="K36" s="222"/>
      <c r="L36" s="222"/>
      <c r="M36" s="222"/>
    </row>
    <row r="37" spans="1:13" ht="14" customHeight="1" x14ac:dyDescent="0.35">
      <c r="A37" s="220">
        <v>6</v>
      </c>
      <c r="B37" s="220"/>
      <c r="C37" s="220" t="s">
        <v>462</v>
      </c>
      <c r="D37" s="220"/>
      <c r="E37" s="220"/>
      <c r="F37" s="223" t="s">
        <v>474</v>
      </c>
      <c r="G37" s="223"/>
      <c r="H37" s="223"/>
      <c r="I37" s="223"/>
      <c r="J37" s="223"/>
      <c r="K37" s="223"/>
      <c r="L37" s="223"/>
      <c r="M37" s="223"/>
    </row>
    <row r="38" spans="1:13" ht="14" customHeight="1" x14ac:dyDescent="0.35">
      <c r="A38" s="221">
        <v>7</v>
      </c>
      <c r="B38" s="221"/>
      <c r="C38" s="221" t="s">
        <v>463</v>
      </c>
      <c r="D38" s="221"/>
      <c r="E38" s="221"/>
      <c r="F38" s="222" t="s">
        <v>475</v>
      </c>
      <c r="G38" s="222"/>
      <c r="H38" s="222"/>
      <c r="I38" s="222"/>
      <c r="J38" s="222"/>
      <c r="K38" s="222"/>
      <c r="L38" s="222"/>
      <c r="M38" s="222"/>
    </row>
    <row r="39" spans="1:13" ht="14" customHeight="1" x14ac:dyDescent="0.35">
      <c r="A39" s="220">
        <v>8</v>
      </c>
      <c r="B39" s="220"/>
      <c r="C39" s="220" t="s">
        <v>83</v>
      </c>
      <c r="D39" s="220"/>
      <c r="E39" s="220"/>
      <c r="F39" s="223" t="s">
        <v>476</v>
      </c>
      <c r="G39" s="223"/>
      <c r="H39" s="223"/>
      <c r="I39" s="223"/>
      <c r="J39" s="223"/>
      <c r="K39" s="223"/>
      <c r="L39" s="223"/>
      <c r="M39" s="223"/>
    </row>
    <row r="40" spans="1:13" ht="14" customHeight="1" x14ac:dyDescent="0.35">
      <c r="A40" s="221">
        <v>9</v>
      </c>
      <c r="B40" s="221"/>
      <c r="C40" s="221" t="s">
        <v>464</v>
      </c>
      <c r="D40" s="221"/>
      <c r="E40" s="221"/>
      <c r="F40" s="222" t="s">
        <v>477</v>
      </c>
      <c r="G40" s="222"/>
      <c r="H40" s="222"/>
      <c r="I40" s="222"/>
      <c r="J40" s="222"/>
      <c r="K40" s="222"/>
      <c r="L40" s="222"/>
      <c r="M40" s="222"/>
    </row>
    <row r="41" spans="1:13" ht="14" customHeight="1" x14ac:dyDescent="0.35">
      <c r="A41" s="220">
        <v>10</v>
      </c>
      <c r="B41" s="220"/>
      <c r="C41" s="220" t="s">
        <v>465</v>
      </c>
      <c r="D41" s="220"/>
      <c r="E41" s="220"/>
      <c r="F41" s="223" t="s">
        <v>478</v>
      </c>
      <c r="G41" s="223"/>
      <c r="H41" s="223"/>
      <c r="I41" s="223"/>
      <c r="J41" s="223"/>
      <c r="K41" s="223"/>
      <c r="L41" s="223"/>
      <c r="M41" s="223"/>
    </row>
    <row r="42" spans="1:13" ht="14" customHeight="1" x14ac:dyDescent="0.35">
      <c r="A42" s="221">
        <v>11</v>
      </c>
      <c r="B42" s="221"/>
      <c r="C42" s="221" t="s">
        <v>466</v>
      </c>
      <c r="D42" s="221"/>
      <c r="E42" s="221"/>
      <c r="F42" s="222" t="s">
        <v>479</v>
      </c>
      <c r="G42" s="222"/>
      <c r="H42" s="222"/>
      <c r="I42" s="222"/>
      <c r="J42" s="222"/>
      <c r="K42" s="222"/>
      <c r="L42" s="222"/>
      <c r="M42" s="222"/>
    </row>
    <row r="43" spans="1:13" ht="14" customHeight="1" x14ac:dyDescent="0.35">
      <c r="A43" s="220">
        <v>12</v>
      </c>
      <c r="B43" s="220"/>
      <c r="C43" s="220" t="s">
        <v>467</v>
      </c>
      <c r="D43" s="220"/>
      <c r="E43" s="220"/>
      <c r="F43" s="223" t="s">
        <v>480</v>
      </c>
      <c r="G43" s="223"/>
      <c r="H43" s="223"/>
      <c r="I43" s="223"/>
      <c r="J43" s="223"/>
      <c r="K43" s="223"/>
      <c r="L43" s="223"/>
      <c r="M43" s="223"/>
    </row>
    <row r="44" spans="1:13" ht="14" customHeight="1" x14ac:dyDescent="0.35">
      <c r="A44" s="221">
        <v>13</v>
      </c>
      <c r="B44" s="221"/>
      <c r="C44" s="221" t="s">
        <v>468</v>
      </c>
      <c r="D44" s="221"/>
      <c r="E44" s="221"/>
      <c r="F44" s="222" t="s">
        <v>481</v>
      </c>
      <c r="G44" s="222"/>
      <c r="H44" s="222"/>
      <c r="I44" s="222"/>
      <c r="J44" s="222"/>
      <c r="K44" s="222"/>
      <c r="L44" s="222"/>
      <c r="M44" s="222"/>
    </row>
    <row r="46" spans="1:13" ht="3" customHeight="1" x14ac:dyDescent="0.35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</row>
    <row r="47" spans="1:13" x14ac:dyDescent="0.35">
      <c r="A47" s="224" t="s">
        <v>482</v>
      </c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</row>
    <row r="48" spans="1:13" x14ac:dyDescent="0.35">
      <c r="A48" s="225" t="s">
        <v>483</v>
      </c>
      <c r="B48" s="225"/>
      <c r="C48" s="225"/>
      <c r="D48" s="225"/>
      <c r="E48" s="225"/>
      <c r="F48" s="225"/>
      <c r="G48" s="226">
        <f>'DCF Valuation'!B38</f>
        <v>546.55389730980642</v>
      </c>
      <c r="H48" s="226"/>
      <c r="I48" s="226"/>
      <c r="J48" s="226"/>
      <c r="K48" s="226"/>
      <c r="L48" s="226"/>
      <c r="M48" s="226"/>
    </row>
    <row r="49" spans="1:13" x14ac:dyDescent="0.35">
      <c r="A49" s="225"/>
      <c r="B49" s="225"/>
      <c r="C49" s="225"/>
      <c r="D49" s="225"/>
      <c r="E49" s="225"/>
      <c r="F49" s="225"/>
      <c r="G49" s="226"/>
      <c r="H49" s="226"/>
      <c r="I49" s="226"/>
      <c r="J49" s="226"/>
      <c r="K49" s="226"/>
      <c r="L49" s="226"/>
      <c r="M49" s="226"/>
    </row>
    <row r="50" spans="1:13" x14ac:dyDescent="0.35">
      <c r="A50" s="225"/>
      <c r="B50" s="225"/>
      <c r="C50" s="225"/>
      <c r="D50" s="225"/>
      <c r="E50" s="225"/>
      <c r="F50" s="225"/>
      <c r="G50" s="226"/>
      <c r="H50" s="226"/>
      <c r="I50" s="226"/>
      <c r="J50" s="226"/>
      <c r="K50" s="226"/>
      <c r="L50" s="226"/>
      <c r="M50" s="226"/>
    </row>
    <row r="51" spans="1:13" ht="15.5" x14ac:dyDescent="0.35">
      <c r="A51" s="225" t="s">
        <v>433</v>
      </c>
      <c r="B51" s="225"/>
      <c r="C51" s="225"/>
      <c r="D51" s="225"/>
      <c r="E51" s="225"/>
      <c r="F51" s="225"/>
      <c r="G51" s="229" t="str">
        <f>'DCF Valuation'!B45</f>
        <v>UNDERVALUED ▲</v>
      </c>
      <c r="H51" s="229"/>
      <c r="I51" s="229"/>
      <c r="J51" s="229"/>
      <c r="K51" s="229"/>
      <c r="L51" s="229"/>
      <c r="M51" s="229"/>
    </row>
    <row r="52" spans="1:13" x14ac:dyDescent="0.35">
      <c r="A52" s="228" t="s">
        <v>484</v>
      </c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</row>
    <row r="54" spans="1:13" x14ac:dyDescent="0.35">
      <c r="A54" s="227" t="s">
        <v>485</v>
      </c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</row>
  </sheetData>
  <mergeCells count="72">
    <mergeCell ref="A52:M52"/>
    <mergeCell ref="A54:M54"/>
    <mergeCell ref="F43:M43"/>
    <mergeCell ref="F44:M44"/>
    <mergeCell ref="A46:M46"/>
    <mergeCell ref="A47:M47"/>
    <mergeCell ref="A48:F50"/>
    <mergeCell ref="G48:M50"/>
    <mergeCell ref="A51:F51"/>
    <mergeCell ref="G51:M51"/>
    <mergeCell ref="F37:M37"/>
    <mergeCell ref="F38:M38"/>
    <mergeCell ref="F39:M39"/>
    <mergeCell ref="F40:M40"/>
    <mergeCell ref="F41:M41"/>
    <mergeCell ref="F42:M42"/>
    <mergeCell ref="C41:E41"/>
    <mergeCell ref="C42:E42"/>
    <mergeCell ref="C43:E43"/>
    <mergeCell ref="C44:E44"/>
    <mergeCell ref="C32:E32"/>
    <mergeCell ref="F32:M32"/>
    <mergeCell ref="F33:M33"/>
    <mergeCell ref="F34:M34"/>
    <mergeCell ref="F35:M35"/>
    <mergeCell ref="F36:M36"/>
    <mergeCell ref="A44:B44"/>
    <mergeCell ref="C33:E33"/>
    <mergeCell ref="C34:E34"/>
    <mergeCell ref="C35:E35"/>
    <mergeCell ref="C36:E36"/>
    <mergeCell ref="C37:E37"/>
    <mergeCell ref="C38:E38"/>
    <mergeCell ref="C39:E39"/>
    <mergeCell ref="C40:E40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30:M30"/>
    <mergeCell ref="A31:B31"/>
    <mergeCell ref="C31:E31"/>
    <mergeCell ref="F31:M31"/>
    <mergeCell ref="E19:M19"/>
    <mergeCell ref="E21:M21"/>
    <mergeCell ref="E23:M23"/>
    <mergeCell ref="E25:M25"/>
    <mergeCell ref="E27:M27"/>
    <mergeCell ref="A23:D23"/>
    <mergeCell ref="A25:D25"/>
    <mergeCell ref="A27:D27"/>
    <mergeCell ref="A15:D15"/>
    <mergeCell ref="E15:M15"/>
    <mergeCell ref="A17:D17"/>
    <mergeCell ref="E17:M17"/>
    <mergeCell ref="A19:D19"/>
    <mergeCell ref="A21:D21"/>
    <mergeCell ref="A1:M1"/>
    <mergeCell ref="A2:M2"/>
    <mergeCell ref="A5:M7"/>
    <mergeCell ref="A8:M9"/>
    <mergeCell ref="A10:M10"/>
    <mergeCell ref="A13:D13"/>
    <mergeCell ref="E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98C8-E63B-4E7D-A68C-0391498D8046}">
  <sheetPr>
    <tabColor theme="3" tint="0.749992370372631"/>
  </sheetPr>
  <dimension ref="A1:H59"/>
  <sheetViews>
    <sheetView zoomScaleNormal="100" workbookViewId="0">
      <selection activeCell="C8" sqref="C8"/>
    </sheetView>
  </sheetViews>
  <sheetFormatPr defaultRowHeight="14.5" x14ac:dyDescent="0.35"/>
  <cols>
    <col min="1" max="1" width="30.26953125" customWidth="1"/>
    <col min="2" max="8" width="12.6328125" customWidth="1"/>
  </cols>
  <sheetData>
    <row r="1" spans="1:8" ht="17" x14ac:dyDescent="0.35">
      <c r="A1" s="150" t="s">
        <v>35</v>
      </c>
      <c r="B1" s="150"/>
      <c r="C1" s="150"/>
      <c r="D1" s="150"/>
      <c r="E1" s="150"/>
      <c r="F1" s="150"/>
      <c r="G1" s="150"/>
      <c r="H1" s="150"/>
    </row>
    <row r="2" spans="1:8" x14ac:dyDescent="0.35">
      <c r="A2" s="151" t="s">
        <v>36</v>
      </c>
      <c r="B2" s="151"/>
      <c r="C2" s="151"/>
      <c r="D2" s="151"/>
      <c r="E2" s="151"/>
      <c r="F2" s="151"/>
      <c r="G2" s="151"/>
      <c r="H2" s="151"/>
    </row>
    <row r="4" spans="1:8" x14ac:dyDescent="0.35">
      <c r="A4" s="145" t="s">
        <v>37</v>
      </c>
      <c r="B4" s="145"/>
      <c r="C4" s="145"/>
      <c r="D4" s="145"/>
      <c r="E4" s="145"/>
      <c r="F4" s="145"/>
      <c r="G4" s="145"/>
      <c r="H4" s="145"/>
    </row>
    <row r="5" spans="1:8" x14ac:dyDescent="0.35">
      <c r="A5" s="32" t="s">
        <v>38</v>
      </c>
      <c r="B5" s="32" t="s">
        <v>39</v>
      </c>
      <c r="C5" s="32" t="s">
        <v>40</v>
      </c>
      <c r="D5" s="32" t="s">
        <v>41</v>
      </c>
      <c r="E5" s="32" t="s">
        <v>42</v>
      </c>
      <c r="F5" s="32" t="s">
        <v>43</v>
      </c>
    </row>
    <row r="6" spans="1:8" x14ac:dyDescent="0.35">
      <c r="A6" s="14" t="s">
        <v>44</v>
      </c>
      <c r="B6" s="19">
        <f>[1]Assumptions!C8</f>
        <v>0.03</v>
      </c>
      <c r="C6" s="19">
        <f>[1]Assumptions!D8</f>
        <v>3.5000000000000003E-2</v>
      </c>
      <c r="D6" s="19">
        <f>[1]Assumptions!E8</f>
        <v>0.03</v>
      </c>
      <c r="E6" s="19">
        <f>[1]Assumptions!F8</f>
        <v>2.5000000000000001E-2</v>
      </c>
      <c r="F6" s="19">
        <f>[1]Assumptions!G8</f>
        <v>0</v>
      </c>
    </row>
    <row r="7" spans="1:8" x14ac:dyDescent="0.35">
      <c r="A7" s="14" t="s">
        <v>45</v>
      </c>
      <c r="B7" s="25">
        <v>0.05</v>
      </c>
      <c r="C7" s="25">
        <v>0.06</v>
      </c>
      <c r="D7" s="25">
        <v>0.06</v>
      </c>
      <c r="E7" s="25">
        <v>0.05</v>
      </c>
      <c r="F7" s="25">
        <v>0.05</v>
      </c>
      <c r="G7" s="25"/>
    </row>
    <row r="8" spans="1:8" x14ac:dyDescent="0.35">
      <c r="A8" s="14" t="s">
        <v>44</v>
      </c>
      <c r="B8" s="25">
        <v>2.5000000000000001E-2</v>
      </c>
      <c r="C8" s="25">
        <v>0.03</v>
      </c>
      <c r="D8" s="25">
        <v>3.5000000000000003E-2</v>
      </c>
      <c r="E8" s="25">
        <v>0.03</v>
      </c>
      <c r="F8" s="25">
        <v>2.5000000000000001E-2</v>
      </c>
      <c r="G8" s="25"/>
    </row>
    <row r="9" spans="1:8" x14ac:dyDescent="0.35">
      <c r="A9" s="14" t="s">
        <v>46</v>
      </c>
      <c r="B9" s="25">
        <v>0</v>
      </c>
      <c r="C9" s="25">
        <v>-0.01</v>
      </c>
      <c r="D9" s="25">
        <v>-0.01</v>
      </c>
      <c r="E9" s="25">
        <v>0.01</v>
      </c>
      <c r="F9" s="25">
        <v>0.02</v>
      </c>
      <c r="G9" s="25"/>
    </row>
    <row r="11" spans="1:8" x14ac:dyDescent="0.35">
      <c r="A11" s="145" t="s">
        <v>47</v>
      </c>
      <c r="B11" s="145"/>
      <c r="C11" s="145"/>
      <c r="D11" s="145"/>
      <c r="E11" s="145"/>
      <c r="F11" s="145"/>
      <c r="G11" s="145"/>
      <c r="H11" s="145"/>
    </row>
    <row r="12" spans="1:8" x14ac:dyDescent="0.35">
      <c r="A12" s="32" t="s">
        <v>48</v>
      </c>
      <c r="B12" s="32" t="s">
        <v>39</v>
      </c>
      <c r="C12" s="32" t="s">
        <v>40</v>
      </c>
      <c r="D12" s="32" t="s">
        <v>41</v>
      </c>
      <c r="E12" s="32" t="s">
        <v>42</v>
      </c>
      <c r="F12" s="32" t="s">
        <v>43</v>
      </c>
    </row>
    <row r="13" spans="1:8" x14ac:dyDescent="0.35">
      <c r="A13" s="14" t="s">
        <v>49</v>
      </c>
      <c r="B13" s="25">
        <v>0.84</v>
      </c>
      <c r="C13" s="25">
        <v>0.83499999999999996</v>
      </c>
      <c r="D13" s="25">
        <v>0.83</v>
      </c>
      <c r="E13" s="25">
        <v>0.82799999999999996</v>
      </c>
      <c r="F13" s="25">
        <v>0.82499999999999996</v>
      </c>
    </row>
    <row r="14" spans="1:8" x14ac:dyDescent="0.35">
      <c r="A14" s="14" t="s">
        <v>8</v>
      </c>
      <c r="B14" s="19">
        <f>1-B13</f>
        <v>0.16000000000000003</v>
      </c>
      <c r="C14" s="19">
        <f t="shared" ref="C14:F14" si="0">1-C13</f>
        <v>0.16500000000000004</v>
      </c>
      <c r="D14" s="19">
        <f t="shared" si="0"/>
        <v>0.17000000000000004</v>
      </c>
      <c r="E14" s="19">
        <f t="shared" si="0"/>
        <v>0.17200000000000004</v>
      </c>
      <c r="F14" s="19">
        <f t="shared" si="0"/>
        <v>0.17500000000000004</v>
      </c>
    </row>
    <row r="15" spans="1:8" x14ac:dyDescent="0.35">
      <c r="A15" s="14" t="s">
        <v>50</v>
      </c>
      <c r="B15" s="25">
        <v>7.0999999999999994E-2</v>
      </c>
      <c r="C15" s="25">
        <v>7.0000000000000007E-2</v>
      </c>
      <c r="D15" s="25">
        <v>6.9000000000000006E-2</v>
      </c>
      <c r="E15" s="25">
        <v>6.8000000000000005E-2</v>
      </c>
      <c r="F15" s="25">
        <v>6.8000000000000005E-2</v>
      </c>
    </row>
    <row r="16" spans="1:8" x14ac:dyDescent="0.35">
      <c r="A16" s="14" t="s">
        <v>51</v>
      </c>
      <c r="B16" s="25">
        <v>3.9E-2</v>
      </c>
      <c r="C16" s="25">
        <v>3.7999999999999999E-2</v>
      </c>
      <c r="D16" s="25">
        <v>3.7999999999999999E-2</v>
      </c>
      <c r="E16" s="25">
        <v>3.6999999999999998E-2</v>
      </c>
      <c r="F16" s="25">
        <v>3.6999999999999998E-2</v>
      </c>
    </row>
    <row r="17" spans="1:8" x14ac:dyDescent="0.35">
      <c r="A17" s="14" t="s">
        <v>52</v>
      </c>
      <c r="B17" s="25">
        <v>-0.02</v>
      </c>
      <c r="C17" s="25">
        <v>-1.7999999999999999E-2</v>
      </c>
      <c r="D17" s="25">
        <v>-1.6E-2</v>
      </c>
      <c r="E17" s="25">
        <v>-1.4999999999999999E-2</v>
      </c>
      <c r="F17" s="25">
        <v>-1.4E-2</v>
      </c>
    </row>
    <row r="18" spans="1:8" x14ac:dyDescent="0.35">
      <c r="A18" s="14" t="s">
        <v>53</v>
      </c>
      <c r="B18" s="19">
        <f>1-B13-B15-B16+B17</f>
        <v>3.0000000000000037E-2</v>
      </c>
      <c r="C18" s="19">
        <f t="shared" ref="C18:F18" si="1">1-C13-C15-C16+C17</f>
        <v>3.9000000000000035E-2</v>
      </c>
      <c r="D18" s="19">
        <f t="shared" si="1"/>
        <v>4.7000000000000028E-2</v>
      </c>
      <c r="E18" s="19">
        <f t="shared" si="1"/>
        <v>5.2000000000000032E-2</v>
      </c>
      <c r="F18" s="19">
        <f t="shared" si="1"/>
        <v>5.6000000000000036E-2</v>
      </c>
    </row>
    <row r="19" spans="1:8" x14ac:dyDescent="0.35">
      <c r="A19" s="14" t="s">
        <v>54</v>
      </c>
      <c r="B19" s="25">
        <v>0.28000000000000003</v>
      </c>
      <c r="C19" s="25">
        <v>0.28000000000000003</v>
      </c>
      <c r="D19" s="25">
        <v>0.28000000000000003</v>
      </c>
      <c r="E19" s="25">
        <v>0.28000000000000003</v>
      </c>
      <c r="F19" s="25">
        <v>0.28000000000000003</v>
      </c>
    </row>
    <row r="21" spans="1:8" x14ac:dyDescent="0.35">
      <c r="A21" s="145" t="s">
        <v>55</v>
      </c>
      <c r="B21" s="145"/>
      <c r="C21" s="145"/>
      <c r="D21" s="145"/>
      <c r="E21" s="145"/>
      <c r="F21" s="145"/>
      <c r="G21" s="145"/>
      <c r="H21" s="145"/>
    </row>
    <row r="22" spans="1:8" x14ac:dyDescent="0.35">
      <c r="A22" s="32" t="s">
        <v>56</v>
      </c>
      <c r="B22" s="32" t="s">
        <v>39</v>
      </c>
      <c r="C22" s="32" t="s">
        <v>40</v>
      </c>
      <c r="D22" s="32" t="s">
        <v>41</v>
      </c>
      <c r="E22" s="32" t="s">
        <v>42</v>
      </c>
      <c r="F22" s="32" t="s">
        <v>43</v>
      </c>
    </row>
    <row r="23" spans="1:8" x14ac:dyDescent="0.35">
      <c r="A23" s="14" t="s">
        <v>57</v>
      </c>
      <c r="B23" s="25">
        <v>4.8000000000000001E-2</v>
      </c>
      <c r="C23" s="25">
        <v>4.7E-2</v>
      </c>
      <c r="D23" s="25">
        <v>4.5999999999999999E-2</v>
      </c>
      <c r="E23" s="25">
        <v>4.4999999999999998E-2</v>
      </c>
      <c r="F23" s="25">
        <v>4.3999999999999997E-2</v>
      </c>
    </row>
    <row r="24" spans="1:8" x14ac:dyDescent="0.35">
      <c r="A24" s="14" t="s">
        <v>58</v>
      </c>
      <c r="B24" s="25">
        <v>2.8000000000000001E-2</v>
      </c>
      <c r="C24" s="25">
        <v>2.7E-2</v>
      </c>
      <c r="D24" s="25">
        <v>2.5999999999999999E-2</v>
      </c>
      <c r="E24" s="25">
        <v>2.5000000000000001E-2</v>
      </c>
      <c r="F24" s="25">
        <v>2.4E-2</v>
      </c>
    </row>
    <row r="25" spans="1:8" x14ac:dyDescent="0.35">
      <c r="A25" s="14" t="s">
        <v>59</v>
      </c>
      <c r="B25" s="25">
        <v>0.04</v>
      </c>
      <c r="C25" s="25">
        <v>0.04</v>
      </c>
      <c r="D25" s="25">
        <v>3.9E-2</v>
      </c>
      <c r="E25" s="25">
        <v>3.9E-2</v>
      </c>
      <c r="F25" s="25">
        <v>3.7999999999999999E-2</v>
      </c>
    </row>
    <row r="26" spans="1:8" x14ac:dyDescent="0.35">
      <c r="A26" s="14" t="s">
        <v>60</v>
      </c>
      <c r="B26" s="25">
        <v>2.4E-2</v>
      </c>
      <c r="C26" s="25">
        <v>2.4E-2</v>
      </c>
      <c r="D26" s="25">
        <v>2.3E-2</v>
      </c>
      <c r="E26" s="25">
        <v>2.3E-2</v>
      </c>
      <c r="F26" s="25">
        <v>2.1999999999999999E-2</v>
      </c>
    </row>
    <row r="27" spans="1:8" x14ac:dyDescent="0.35">
      <c r="A27" s="14" t="s">
        <v>61</v>
      </c>
      <c r="B27" s="19">
        <f>B25+B26</f>
        <v>6.4000000000000001E-2</v>
      </c>
      <c r="C27" s="19">
        <f t="shared" ref="C27:F27" si="2">C25+C26</f>
        <v>6.4000000000000001E-2</v>
      </c>
      <c r="D27" s="19">
        <f t="shared" si="2"/>
        <v>6.2E-2</v>
      </c>
      <c r="E27" s="19">
        <f t="shared" si="2"/>
        <v>6.2E-2</v>
      </c>
      <c r="F27" s="19">
        <f t="shared" si="2"/>
        <v>0.06</v>
      </c>
    </row>
    <row r="29" spans="1:8" x14ac:dyDescent="0.35">
      <c r="A29" s="145" t="s">
        <v>62</v>
      </c>
      <c r="B29" s="145"/>
      <c r="C29" s="145"/>
      <c r="D29" s="145"/>
      <c r="E29" s="145"/>
      <c r="F29" s="145"/>
      <c r="G29" s="145"/>
      <c r="H29" s="145"/>
    </row>
    <row r="30" spans="1:8" x14ac:dyDescent="0.35">
      <c r="A30" s="32" t="s">
        <v>56</v>
      </c>
      <c r="B30" s="32" t="s">
        <v>39</v>
      </c>
      <c r="C30" s="32" t="s">
        <v>40</v>
      </c>
      <c r="D30" s="32" t="s">
        <v>41</v>
      </c>
      <c r="E30" s="32" t="s">
        <v>42</v>
      </c>
      <c r="F30" s="32" t="s">
        <v>43</v>
      </c>
    </row>
    <row r="31" spans="1:8" x14ac:dyDescent="0.35">
      <c r="A31" s="14" t="s">
        <v>63</v>
      </c>
      <c r="B31" s="26">
        <v>62</v>
      </c>
      <c r="C31" s="26">
        <v>61</v>
      </c>
      <c r="D31" s="26">
        <v>60</v>
      </c>
      <c r="E31" s="26">
        <v>60</v>
      </c>
      <c r="F31" s="26">
        <v>59</v>
      </c>
    </row>
    <row r="32" spans="1:8" x14ac:dyDescent="0.35">
      <c r="A32" s="14" t="s">
        <v>64</v>
      </c>
      <c r="B32" s="26">
        <v>21</v>
      </c>
      <c r="C32" s="26">
        <v>21</v>
      </c>
      <c r="D32" s="26">
        <v>20</v>
      </c>
      <c r="E32" s="26">
        <v>20</v>
      </c>
      <c r="F32" s="26">
        <v>20</v>
      </c>
    </row>
    <row r="33" spans="1:8" x14ac:dyDescent="0.35">
      <c r="A33" s="14" t="s">
        <v>65</v>
      </c>
      <c r="B33" s="26">
        <v>39</v>
      </c>
      <c r="C33" s="26">
        <v>39</v>
      </c>
      <c r="D33" s="26">
        <v>40</v>
      </c>
      <c r="E33" s="26">
        <v>40</v>
      </c>
      <c r="F33" s="26">
        <v>41</v>
      </c>
    </row>
    <row r="34" spans="1:8" x14ac:dyDescent="0.35">
      <c r="A34" s="14" t="s">
        <v>66</v>
      </c>
      <c r="B34" s="20">
        <f>B31+B32-B33</f>
        <v>44</v>
      </c>
      <c r="C34" s="20">
        <f t="shared" ref="C34:F34" si="3">C31+C32-C33</f>
        <v>43</v>
      </c>
      <c r="D34" s="20">
        <f t="shared" si="3"/>
        <v>40</v>
      </c>
      <c r="E34" s="20">
        <f t="shared" si="3"/>
        <v>40</v>
      </c>
      <c r="F34" s="20">
        <f t="shared" si="3"/>
        <v>38</v>
      </c>
    </row>
    <row r="36" spans="1:8" x14ac:dyDescent="0.35">
      <c r="A36" s="145" t="s">
        <v>67</v>
      </c>
      <c r="B36" s="145"/>
      <c r="C36" s="145"/>
      <c r="D36" s="145"/>
      <c r="E36" s="145"/>
      <c r="F36" s="145"/>
      <c r="G36" s="145"/>
      <c r="H36" s="145"/>
    </row>
    <row r="37" spans="1:8" x14ac:dyDescent="0.35">
      <c r="A37" s="32" t="s">
        <v>68</v>
      </c>
      <c r="B37" s="32" t="s">
        <v>69</v>
      </c>
      <c r="C37" s="32" t="s">
        <v>70</v>
      </c>
      <c r="D37" s="18"/>
      <c r="E37" s="18"/>
      <c r="F37" s="18"/>
    </row>
    <row r="38" spans="1:8" x14ac:dyDescent="0.35">
      <c r="A38" s="21" t="s">
        <v>71</v>
      </c>
      <c r="B38" s="27">
        <v>2.8000000000000001E-2</v>
      </c>
      <c r="C38" s="148">
        <v>2.8000000000000001E-2</v>
      </c>
      <c r="D38" s="148"/>
      <c r="E38" s="148"/>
      <c r="F38" s="148"/>
      <c r="G38" s="148"/>
    </row>
    <row r="39" spans="1:8" x14ac:dyDescent="0.35">
      <c r="A39" s="21" t="s">
        <v>72</v>
      </c>
      <c r="B39" s="27">
        <v>5.5E-2</v>
      </c>
      <c r="C39" s="148">
        <v>5.5E-2</v>
      </c>
      <c r="D39" s="148"/>
      <c r="E39" s="148"/>
      <c r="F39" s="148"/>
      <c r="G39" s="148"/>
    </row>
    <row r="40" spans="1:8" x14ac:dyDescent="0.35">
      <c r="A40" s="21" t="s">
        <v>73</v>
      </c>
      <c r="B40" s="27">
        <v>1.1000000000000001</v>
      </c>
      <c r="C40" s="148">
        <v>1.1000000000000001</v>
      </c>
      <c r="D40" s="148"/>
      <c r="E40" s="148"/>
      <c r="F40" s="148"/>
      <c r="G40" s="148"/>
    </row>
    <row r="41" spans="1:8" x14ac:dyDescent="0.35">
      <c r="A41" s="21" t="s">
        <v>74</v>
      </c>
      <c r="B41" s="22">
        <f>C38+C39*C40</f>
        <v>8.8500000000000009E-2</v>
      </c>
      <c r="C41" s="144">
        <f>C38+C39*C40</f>
        <v>8.8500000000000009E-2</v>
      </c>
      <c r="D41" s="144"/>
      <c r="E41" s="144"/>
      <c r="F41" s="144"/>
      <c r="G41" s="144"/>
    </row>
    <row r="42" spans="1:8" x14ac:dyDescent="0.35">
      <c r="A42" s="21" t="s">
        <v>75</v>
      </c>
      <c r="B42" s="27">
        <v>4.4999999999999998E-2</v>
      </c>
      <c r="C42" s="146" t="s">
        <v>76</v>
      </c>
      <c r="D42" s="146"/>
      <c r="E42" s="146"/>
      <c r="F42" s="146"/>
      <c r="G42" s="146"/>
    </row>
    <row r="43" spans="1:8" x14ac:dyDescent="0.35">
      <c r="A43" s="21" t="s">
        <v>77</v>
      </c>
      <c r="B43" s="27">
        <v>0.28000000000000003</v>
      </c>
      <c r="C43" s="148">
        <v>4.4999999999999998E-2</v>
      </c>
      <c r="D43" s="148"/>
      <c r="E43" s="148"/>
      <c r="F43" s="148"/>
      <c r="G43" s="148"/>
    </row>
    <row r="44" spans="1:8" x14ac:dyDescent="0.35">
      <c r="A44" s="21" t="s">
        <v>78</v>
      </c>
      <c r="B44" s="22">
        <f>C43*(1-C44)</f>
        <v>3.2399999999999998E-2</v>
      </c>
      <c r="C44" s="148">
        <v>0.28000000000000003</v>
      </c>
      <c r="D44" s="148"/>
      <c r="E44" s="148"/>
      <c r="F44" s="148"/>
      <c r="G44" s="148"/>
    </row>
    <row r="45" spans="1:8" x14ac:dyDescent="0.35">
      <c r="A45" s="21" t="s">
        <v>79</v>
      </c>
      <c r="B45" s="28">
        <v>42</v>
      </c>
      <c r="C45" s="144">
        <f>C43*(1-C44)</f>
        <v>3.2399999999999998E-2</v>
      </c>
      <c r="D45" s="144"/>
      <c r="E45" s="144"/>
      <c r="F45" s="144"/>
      <c r="G45" s="144"/>
    </row>
    <row r="46" spans="1:8" x14ac:dyDescent="0.35">
      <c r="A46" s="21" t="s">
        <v>80</v>
      </c>
      <c r="B46" s="28">
        <v>71.5</v>
      </c>
      <c r="C46" s="149">
        <v>42</v>
      </c>
      <c r="D46" s="149"/>
      <c r="E46" s="149"/>
      <c r="F46" s="149"/>
      <c r="G46" s="149"/>
    </row>
    <row r="47" spans="1:8" x14ac:dyDescent="0.35">
      <c r="A47" s="21" t="s">
        <v>81</v>
      </c>
      <c r="B47" s="22">
        <f>C46/(C46+C47)</f>
        <v>0.37004405286343611</v>
      </c>
      <c r="C47" s="149">
        <v>71.5</v>
      </c>
      <c r="D47" s="149"/>
      <c r="E47" s="149"/>
      <c r="F47" s="149"/>
      <c r="G47" s="149"/>
    </row>
    <row r="48" spans="1:8" x14ac:dyDescent="0.35">
      <c r="A48" s="21" t="s">
        <v>82</v>
      </c>
      <c r="B48" s="22">
        <f>1-C48</f>
        <v>0.62995594713656389</v>
      </c>
      <c r="C48" s="144">
        <f>C46/(C46+C47)</f>
        <v>0.37004405286343611</v>
      </c>
      <c r="D48" s="144"/>
      <c r="E48" s="144"/>
      <c r="F48" s="144"/>
      <c r="G48" s="144"/>
    </row>
    <row r="49" spans="1:8" x14ac:dyDescent="0.35">
      <c r="A49" s="21" t="s">
        <v>83</v>
      </c>
      <c r="B49" s="22">
        <f>C48*C41+C49*C45</f>
        <v>5.3159471365638769E-2</v>
      </c>
      <c r="C49" s="144">
        <f>1-C48</f>
        <v>0.62995594713656389</v>
      </c>
      <c r="D49" s="144"/>
      <c r="E49" s="144"/>
      <c r="F49" s="144"/>
      <c r="G49" s="144"/>
    </row>
    <row r="50" spans="1:8" x14ac:dyDescent="0.35">
      <c r="C50" s="23">
        <f>C48*C41+C49*C45</f>
        <v>5.3159471365638769E-2</v>
      </c>
    </row>
    <row r="53" spans="1:8" x14ac:dyDescent="0.35">
      <c r="A53" s="145" t="s">
        <v>84</v>
      </c>
      <c r="B53" s="145"/>
      <c r="C53" s="145"/>
      <c r="D53" s="145"/>
      <c r="E53" s="145"/>
      <c r="F53" s="145"/>
      <c r="G53" s="145"/>
      <c r="H53" s="145"/>
    </row>
    <row r="54" spans="1:8" x14ac:dyDescent="0.35">
      <c r="A54" s="32" t="s">
        <v>68</v>
      </c>
      <c r="B54" s="32" t="s">
        <v>69</v>
      </c>
      <c r="C54" s="32">
        <v>0.02</v>
      </c>
      <c r="D54" s="32"/>
      <c r="E54" s="32"/>
      <c r="F54" s="32"/>
    </row>
    <row r="55" spans="1:8" x14ac:dyDescent="0.35">
      <c r="A55" s="21" t="s">
        <v>85</v>
      </c>
      <c r="B55" s="27">
        <v>0.02</v>
      </c>
      <c r="C55" s="143">
        <f>'[1]FCF Build'!H22</f>
        <v>0</v>
      </c>
      <c r="D55" s="143"/>
      <c r="E55" s="143"/>
      <c r="F55" s="143"/>
      <c r="G55" s="143"/>
    </row>
    <row r="56" spans="1:8" x14ac:dyDescent="0.35">
      <c r="A56" s="21" t="s">
        <v>86</v>
      </c>
      <c r="B56" s="24">
        <f>'[1]FCF Build'!H22</f>
        <v>0</v>
      </c>
      <c r="C56" s="146" t="s">
        <v>87</v>
      </c>
      <c r="D56" s="146"/>
      <c r="E56" s="146"/>
      <c r="F56" s="146"/>
      <c r="G56" s="146"/>
    </row>
    <row r="57" spans="1:8" x14ac:dyDescent="0.35">
      <c r="A57" s="21" t="s">
        <v>88</v>
      </c>
      <c r="B57" s="22">
        <f>[1]Assumptions!C55*(1+[1]Assumptions!C54)/([1]Assumptions!C50-[1]Assumptions!C54)</f>
        <v>0</v>
      </c>
      <c r="C57" s="143">
        <f>C55*(1+C54)/(C50-C54)</f>
        <v>0</v>
      </c>
      <c r="D57" s="143"/>
      <c r="E57" s="143"/>
      <c r="F57" s="143"/>
      <c r="G57" s="143"/>
    </row>
    <row r="58" spans="1:8" x14ac:dyDescent="0.35">
      <c r="A58" s="21" t="s">
        <v>89</v>
      </c>
      <c r="B58" s="29">
        <v>5</v>
      </c>
      <c r="C58" s="147">
        <v>5</v>
      </c>
      <c r="D58" s="147"/>
      <c r="E58" s="147"/>
      <c r="F58" s="147"/>
      <c r="G58" s="147"/>
    </row>
    <row r="59" spans="1:8" x14ac:dyDescent="0.35">
      <c r="A59" s="21" t="s">
        <v>90</v>
      </c>
      <c r="B59" s="24">
        <f>[1]Assumptions!C57/((1+[1]Assumptions!C50)^[1]Assumptions!C58)</f>
        <v>0</v>
      </c>
      <c r="C59" s="143">
        <f>C57/(1+C50)^C58</f>
        <v>0</v>
      </c>
      <c r="D59" s="143"/>
      <c r="E59" s="143"/>
      <c r="F59" s="143"/>
      <c r="G59" s="143"/>
    </row>
  </sheetData>
  <mergeCells count="25">
    <mergeCell ref="A29:H29"/>
    <mergeCell ref="A1:H1"/>
    <mergeCell ref="A2:H2"/>
    <mergeCell ref="A4:H4"/>
    <mergeCell ref="A11:H11"/>
    <mergeCell ref="A21:H21"/>
    <mergeCell ref="C48:G48"/>
    <mergeCell ref="A36:H36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59:G59"/>
    <mergeCell ref="C49:G49"/>
    <mergeCell ref="A53:H53"/>
    <mergeCell ref="C55:G55"/>
    <mergeCell ref="C56:G56"/>
    <mergeCell ref="C57:G57"/>
    <mergeCell ref="C58:G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8FD3-D6E4-488E-9499-C8A20344FD9F}">
  <sheetPr>
    <tabColor theme="3" tint="0.749992370372631"/>
  </sheetPr>
  <dimension ref="A1:H42"/>
  <sheetViews>
    <sheetView zoomScaleNormal="100" workbookViewId="0">
      <selection sqref="A1:H1"/>
    </sheetView>
  </sheetViews>
  <sheetFormatPr defaultRowHeight="14.5" x14ac:dyDescent="0.35"/>
  <cols>
    <col min="1" max="1" width="35.6328125" customWidth="1"/>
    <col min="2" max="8" width="12.6328125" customWidth="1"/>
  </cols>
  <sheetData>
    <row r="1" spans="1:8" ht="24" customHeight="1" x14ac:dyDescent="0.35">
      <c r="A1" s="141" t="s">
        <v>0</v>
      </c>
      <c r="B1" s="153"/>
      <c r="C1" s="153"/>
      <c r="D1" s="153"/>
      <c r="E1" s="153"/>
      <c r="F1" s="153"/>
      <c r="G1" s="153"/>
      <c r="H1" s="153"/>
    </row>
    <row r="3" spans="1:8" x14ac:dyDescent="0.35">
      <c r="A3" s="8" t="s">
        <v>1</v>
      </c>
      <c r="B3" s="8">
        <v>2021</v>
      </c>
      <c r="C3" s="8">
        <v>2022</v>
      </c>
      <c r="D3" s="8">
        <v>2023</v>
      </c>
      <c r="E3" s="8">
        <v>2024</v>
      </c>
      <c r="F3" s="8">
        <v>2025</v>
      </c>
    </row>
    <row r="4" spans="1:8" ht="11.5" customHeight="1" x14ac:dyDescent="0.35">
      <c r="A4" s="138" t="s">
        <v>2</v>
      </c>
      <c r="B4" s="138"/>
      <c r="C4" s="138"/>
      <c r="D4" s="138"/>
      <c r="E4" s="138"/>
      <c r="F4" s="138"/>
      <c r="G4" s="138"/>
      <c r="H4" s="138"/>
    </row>
    <row r="5" spans="1:8" x14ac:dyDescent="0.35">
      <c r="A5" s="3" t="s">
        <v>3</v>
      </c>
      <c r="B5" s="4">
        <v>250200</v>
      </c>
      <c r="C5" s="4">
        <v>279232</v>
      </c>
      <c r="D5" s="4">
        <v>322284</v>
      </c>
      <c r="E5" s="4">
        <v>324656</v>
      </c>
      <c r="F5" s="4">
        <v>321913</v>
      </c>
    </row>
    <row r="6" spans="1:8" x14ac:dyDescent="0.35">
      <c r="A6" s="5" t="s">
        <v>5</v>
      </c>
      <c r="B6" s="6"/>
      <c r="C6" s="7">
        <f>(C5-B5)/B5</f>
        <v>0.11603517186250999</v>
      </c>
      <c r="D6" s="7">
        <f t="shared" ref="D6:F6" si="0">(D5-C5)/C5</f>
        <v>0.15418003667201466</v>
      </c>
      <c r="E6" s="7">
        <f t="shared" si="0"/>
        <v>7.3599682267813478E-3</v>
      </c>
      <c r="F6" s="7">
        <f t="shared" si="0"/>
        <v>-8.4489428810802826E-3</v>
      </c>
      <c r="G6" s="2"/>
    </row>
    <row r="7" spans="1:8" ht="7.5" customHeight="1" x14ac:dyDescent="0.35"/>
    <row r="8" spans="1:8" ht="11.5" customHeight="1" x14ac:dyDescent="0.35">
      <c r="A8" s="138" t="s">
        <v>6</v>
      </c>
      <c r="B8" s="152"/>
      <c r="C8" s="152"/>
      <c r="D8" s="152"/>
      <c r="E8" s="152"/>
      <c r="F8" s="152"/>
      <c r="G8" s="152"/>
      <c r="H8" s="152"/>
    </row>
    <row r="9" spans="1:8" x14ac:dyDescent="0.35">
      <c r="A9" s="5" t="s">
        <v>4</v>
      </c>
      <c r="B9" s="9">
        <v>-202959</v>
      </c>
      <c r="C9" s="9">
        <v>-227005</v>
      </c>
      <c r="D9" s="9">
        <v>-261262</v>
      </c>
      <c r="E9" s="9">
        <v>-265184</v>
      </c>
      <c r="F9" s="9">
        <v>-270671</v>
      </c>
    </row>
    <row r="10" spans="1:8" x14ac:dyDescent="0.35">
      <c r="A10" s="10" t="s">
        <v>7</v>
      </c>
      <c r="B10" s="11">
        <f>B5+B9</f>
        <v>47241</v>
      </c>
      <c r="C10" s="11">
        <f>C5+C9</f>
        <v>52227</v>
      </c>
      <c r="D10" s="11">
        <f>D5+D9</f>
        <v>61022</v>
      </c>
      <c r="E10" s="11">
        <f>E5+E9</f>
        <v>59472</v>
      </c>
      <c r="F10" s="11">
        <f>F5+F9</f>
        <v>51242</v>
      </c>
      <c r="G10" s="1"/>
    </row>
    <row r="11" spans="1:8" x14ac:dyDescent="0.35">
      <c r="A11" s="12" t="s">
        <v>8</v>
      </c>
      <c r="B11" s="7">
        <f>B10/B5</f>
        <v>0.18881294964028777</v>
      </c>
      <c r="C11" s="7">
        <f t="shared" ref="C11:F11" si="1">C10/C5</f>
        <v>0.18703801856520744</v>
      </c>
      <c r="D11" s="7">
        <f t="shared" si="1"/>
        <v>0.18934231919673331</v>
      </c>
      <c r="E11" s="7">
        <f t="shared" si="1"/>
        <v>0.18318466315115076</v>
      </c>
      <c r="F11" s="7">
        <f t="shared" si="1"/>
        <v>0.15917965413015317</v>
      </c>
    </row>
    <row r="12" spans="1:8" x14ac:dyDescent="0.35">
      <c r="A12" s="12" t="s">
        <v>9</v>
      </c>
      <c r="B12" s="9">
        <v>-19228</v>
      </c>
      <c r="C12" s="9">
        <v>-19840</v>
      </c>
      <c r="D12" s="9">
        <v>-21340</v>
      </c>
      <c r="E12" s="9">
        <v>-22320</v>
      </c>
      <c r="F12" s="9">
        <v>-22804</v>
      </c>
    </row>
    <row r="13" spans="1:8" x14ac:dyDescent="0.35">
      <c r="A13" s="12" t="s">
        <v>10</v>
      </c>
      <c r="B13" s="9">
        <v>-10420</v>
      </c>
      <c r="C13" s="9">
        <v>-11689</v>
      </c>
      <c r="D13" s="9">
        <v>-12724</v>
      </c>
      <c r="E13" s="9">
        <v>-12754</v>
      </c>
      <c r="F13" s="9">
        <v>-12541</v>
      </c>
    </row>
    <row r="14" spans="1:8" x14ac:dyDescent="0.35">
      <c r="A14" s="12" t="s">
        <v>11</v>
      </c>
      <c r="B14" s="9">
        <v>1682</v>
      </c>
      <c r="C14" s="9">
        <v>1421</v>
      </c>
      <c r="D14" s="9">
        <v>-4382</v>
      </c>
      <c r="E14" s="9">
        <v>-5338</v>
      </c>
      <c r="F14" s="9">
        <v>-7029</v>
      </c>
    </row>
    <row r="15" spans="1:8" ht="7.5" customHeight="1" x14ac:dyDescent="0.35"/>
    <row r="16" spans="1:8" ht="11.5" customHeight="1" x14ac:dyDescent="0.35">
      <c r="A16" s="138" t="s">
        <v>12</v>
      </c>
      <c r="B16" s="152"/>
      <c r="C16" s="152"/>
      <c r="D16" s="152"/>
      <c r="E16" s="152"/>
      <c r="F16" s="152"/>
      <c r="G16" s="152"/>
      <c r="H16" s="152"/>
    </row>
    <row r="17" spans="1:8" x14ac:dyDescent="0.35">
      <c r="A17" s="13" t="s">
        <v>13</v>
      </c>
      <c r="B17" s="11">
        <f>B10+B12+B13+B14</f>
        <v>19275</v>
      </c>
      <c r="C17" s="11">
        <f t="shared" ref="C17:F17" si="2">C10+C12+C13+C14</f>
        <v>22119</v>
      </c>
      <c r="D17" s="11">
        <f t="shared" si="2"/>
        <v>22576</v>
      </c>
      <c r="E17" s="11">
        <f t="shared" si="2"/>
        <v>19060</v>
      </c>
      <c r="F17" s="11">
        <f t="shared" si="2"/>
        <v>8868</v>
      </c>
    </row>
    <row r="18" spans="1:8" x14ac:dyDescent="0.35">
      <c r="A18" s="12" t="s">
        <v>14</v>
      </c>
      <c r="B18" s="7">
        <f>B17/B5</f>
        <v>7.7038369304556362E-2</v>
      </c>
      <c r="C18" s="7">
        <f t="shared" ref="C18:F18" si="3">C17/C5</f>
        <v>7.9213700435480178E-2</v>
      </c>
      <c r="D18" s="7">
        <f t="shared" si="3"/>
        <v>7.0050017996549627E-2</v>
      </c>
      <c r="E18" s="7">
        <f t="shared" si="3"/>
        <v>5.8708294317677788E-2</v>
      </c>
      <c r="F18" s="7">
        <f t="shared" si="3"/>
        <v>2.7547815714183646E-2</v>
      </c>
    </row>
    <row r="19" spans="1:8" ht="7.5" customHeight="1" x14ac:dyDescent="0.35"/>
    <row r="20" spans="1:8" ht="11.5" customHeight="1" x14ac:dyDescent="0.35">
      <c r="A20" s="138" t="s">
        <v>15</v>
      </c>
      <c r="B20" s="152"/>
      <c r="C20" s="152"/>
      <c r="D20" s="152"/>
      <c r="E20" s="152"/>
      <c r="F20" s="152"/>
      <c r="G20" s="152"/>
      <c r="H20" s="152"/>
    </row>
    <row r="21" spans="1:8" x14ac:dyDescent="0.35">
      <c r="A21" s="14" t="s">
        <v>16</v>
      </c>
      <c r="B21" s="9">
        <v>2403</v>
      </c>
      <c r="C21" s="9">
        <v>2403</v>
      </c>
      <c r="D21" s="9">
        <v>2291</v>
      </c>
      <c r="E21" s="9">
        <v>375</v>
      </c>
      <c r="F21" s="9">
        <v>930</v>
      </c>
    </row>
    <row r="22" spans="1:8" x14ac:dyDescent="0.35">
      <c r="A22" s="14" t="s">
        <v>17</v>
      </c>
      <c r="B22" s="9">
        <v>651</v>
      </c>
      <c r="C22" s="9">
        <v>1325</v>
      </c>
      <c r="D22" s="9">
        <v>2658</v>
      </c>
      <c r="E22" s="9">
        <v>2419</v>
      </c>
      <c r="F22" s="9">
        <v>1824</v>
      </c>
    </row>
    <row r="23" spans="1:8" x14ac:dyDescent="0.35">
      <c r="A23" s="14" t="s">
        <v>18</v>
      </c>
      <c r="B23" s="9">
        <v>-408</v>
      </c>
      <c r="C23" s="9">
        <v>-408</v>
      </c>
      <c r="D23" s="9">
        <v>-3592</v>
      </c>
      <c r="E23" s="9">
        <v>-3446</v>
      </c>
      <c r="F23" s="9">
        <v>-3245</v>
      </c>
    </row>
    <row r="24" spans="1:8" x14ac:dyDescent="0.35">
      <c r="A24" s="14" t="s">
        <v>19</v>
      </c>
      <c r="B24" s="9">
        <v>-526</v>
      </c>
      <c r="C24" s="9">
        <v>-1301</v>
      </c>
      <c r="D24" s="9">
        <v>-739</v>
      </c>
      <c r="E24" s="9">
        <v>-1602</v>
      </c>
      <c r="F24" s="9">
        <v>930</v>
      </c>
    </row>
    <row r="25" spans="1:8" x14ac:dyDescent="0.35">
      <c r="A25" s="30" t="s">
        <v>20</v>
      </c>
      <c r="B25" s="11">
        <f>B21+B22+B23+B24</f>
        <v>2120</v>
      </c>
      <c r="C25" s="11">
        <f t="shared" ref="C25:F25" si="4">C21+C22+C23+C24</f>
        <v>2019</v>
      </c>
      <c r="D25" s="11">
        <f t="shared" si="4"/>
        <v>618</v>
      </c>
      <c r="E25" s="15">
        <f t="shared" si="4"/>
        <v>-2254</v>
      </c>
      <c r="F25" s="11">
        <f t="shared" si="4"/>
        <v>439</v>
      </c>
    </row>
    <row r="26" spans="1:8" ht="7.5" customHeight="1" x14ac:dyDescent="0.35"/>
    <row r="27" spans="1:8" ht="11.5" customHeight="1" x14ac:dyDescent="0.35">
      <c r="A27" s="138" t="s">
        <v>91</v>
      </c>
      <c r="B27" s="152"/>
      <c r="C27" s="152"/>
      <c r="D27" s="152"/>
      <c r="E27" s="152"/>
      <c r="F27" s="152"/>
      <c r="G27" s="152"/>
      <c r="H27" s="152"/>
    </row>
    <row r="28" spans="1:8" x14ac:dyDescent="0.35">
      <c r="A28" s="14" t="s">
        <v>21</v>
      </c>
      <c r="B28" s="9">
        <v>20126</v>
      </c>
      <c r="C28" s="9">
        <v>22044</v>
      </c>
      <c r="D28" s="9">
        <v>23194</v>
      </c>
      <c r="E28" s="9">
        <v>16806</v>
      </c>
      <c r="F28" s="9">
        <v>9307</v>
      </c>
    </row>
    <row r="29" spans="1:8" x14ac:dyDescent="0.35">
      <c r="A29" s="14" t="s">
        <v>22</v>
      </c>
      <c r="B29" s="9">
        <v>-4698</v>
      </c>
      <c r="C29" s="9">
        <v>-6208</v>
      </c>
      <c r="D29" s="9">
        <v>-5237</v>
      </c>
      <c r="E29" s="9">
        <v>-4411</v>
      </c>
      <c r="F29" s="9">
        <v>-2403</v>
      </c>
    </row>
    <row r="30" spans="1:8" x14ac:dyDescent="0.35">
      <c r="A30" s="14" t="s">
        <v>23</v>
      </c>
      <c r="B30" s="16">
        <f>B29/B28</f>
        <v>-0.2334293948126801</v>
      </c>
      <c r="C30" s="16">
        <f t="shared" ref="C30:F30" si="5">C29/C28</f>
        <v>-0.2816185810197786</v>
      </c>
      <c r="D30" s="16">
        <f t="shared" si="5"/>
        <v>-0.22579115288436666</v>
      </c>
      <c r="E30" s="16">
        <f t="shared" si="5"/>
        <v>-0.26246578602879922</v>
      </c>
      <c r="F30" s="16">
        <f t="shared" si="5"/>
        <v>-0.25819275813903514</v>
      </c>
    </row>
    <row r="31" spans="1:8" x14ac:dyDescent="0.35">
      <c r="A31" s="30" t="s">
        <v>24</v>
      </c>
      <c r="B31" s="11">
        <f>B28+B29</f>
        <v>15428</v>
      </c>
      <c r="C31" s="11">
        <f t="shared" ref="C31:F31" si="6">C28+C29</f>
        <v>15836</v>
      </c>
      <c r="D31" s="11">
        <f t="shared" si="6"/>
        <v>17957</v>
      </c>
      <c r="E31" s="11">
        <f t="shared" si="6"/>
        <v>12395</v>
      </c>
      <c r="F31" s="11">
        <f t="shared" si="6"/>
        <v>6904</v>
      </c>
    </row>
    <row r="32" spans="1:8" x14ac:dyDescent="0.35">
      <c r="A32" s="14" t="s">
        <v>25</v>
      </c>
      <c r="B32" s="9">
        <v>-624</v>
      </c>
      <c r="C32" s="9">
        <v>-1043</v>
      </c>
      <c r="D32" s="9">
        <v>-1329</v>
      </c>
      <c r="E32" s="9">
        <v>-1043</v>
      </c>
      <c r="F32" s="9">
        <v>419</v>
      </c>
    </row>
    <row r="33" spans="1:8" x14ac:dyDescent="0.35">
      <c r="A33" s="14" t="s">
        <v>26</v>
      </c>
      <c r="B33" s="9">
        <v>-486</v>
      </c>
      <c r="C33" s="9">
        <v>-630</v>
      </c>
      <c r="D33" s="9">
        <v>-586</v>
      </c>
      <c r="E33" s="9">
        <v>-630</v>
      </c>
      <c r="F33" s="9">
        <v>-650</v>
      </c>
    </row>
    <row r="34" spans="1:8" x14ac:dyDescent="0.35">
      <c r="A34" s="30" t="s">
        <v>27</v>
      </c>
      <c r="B34" s="11">
        <f>B31+B32+B33</f>
        <v>14318</v>
      </c>
      <c r="C34" s="11">
        <f t="shared" ref="C34:F34" si="7">C31+C32+C33</f>
        <v>14163</v>
      </c>
      <c r="D34" s="11">
        <f t="shared" si="7"/>
        <v>16042</v>
      </c>
      <c r="E34" s="11">
        <f t="shared" si="7"/>
        <v>10722</v>
      </c>
      <c r="F34" s="11">
        <f t="shared" si="7"/>
        <v>6673</v>
      </c>
    </row>
    <row r="35" spans="1:8" x14ac:dyDescent="0.35">
      <c r="A35" s="14" t="s">
        <v>28</v>
      </c>
      <c r="B35" s="16">
        <f>B34/B5</f>
        <v>5.7226219024780173E-2</v>
      </c>
      <c r="C35" s="16">
        <f t="shared" ref="C35:F35" si="8">C34/C5</f>
        <v>5.0721264038505617E-2</v>
      </c>
      <c r="D35" s="16">
        <f t="shared" si="8"/>
        <v>4.9775973985677228E-2</v>
      </c>
      <c r="E35" s="16">
        <f t="shared" si="8"/>
        <v>3.3025725691193143E-2</v>
      </c>
      <c r="F35" s="16">
        <f t="shared" si="8"/>
        <v>2.0729203231929123E-2</v>
      </c>
    </row>
    <row r="36" spans="1:8" ht="7.5" customHeight="1" x14ac:dyDescent="0.35"/>
    <row r="37" spans="1:8" ht="11.5" customHeight="1" x14ac:dyDescent="0.35">
      <c r="A37" s="138" t="s">
        <v>29</v>
      </c>
      <c r="B37" s="152"/>
      <c r="C37" s="152"/>
      <c r="D37" s="152"/>
      <c r="E37" s="152"/>
      <c r="F37" s="152"/>
      <c r="G37" s="152"/>
      <c r="H37" s="152"/>
    </row>
    <row r="38" spans="1:8" x14ac:dyDescent="0.35">
      <c r="A38" s="14" t="s">
        <v>30</v>
      </c>
      <c r="B38" s="17">
        <v>29.59</v>
      </c>
      <c r="C38" s="17">
        <v>29.63</v>
      </c>
      <c r="D38" s="17">
        <v>31.79</v>
      </c>
      <c r="E38" s="17">
        <v>21.36</v>
      </c>
      <c r="F38" s="17">
        <v>13.29</v>
      </c>
    </row>
    <row r="39" spans="1:8" x14ac:dyDescent="0.35">
      <c r="A39" s="14" t="s">
        <v>31</v>
      </c>
      <c r="B39" s="17">
        <v>29.65</v>
      </c>
      <c r="C39" s="17">
        <v>29.69</v>
      </c>
      <c r="D39" s="17">
        <v>31.85</v>
      </c>
      <c r="E39" s="17">
        <v>21.42</v>
      </c>
      <c r="F39" s="17">
        <v>13.35</v>
      </c>
    </row>
    <row r="40" spans="1:8" x14ac:dyDescent="0.35">
      <c r="A40" s="14" t="s">
        <v>32</v>
      </c>
      <c r="B40" s="17">
        <v>295.08999999999997</v>
      </c>
      <c r="C40" s="17">
        <v>295.08999999999997</v>
      </c>
      <c r="D40" s="17">
        <v>295.08999999999997</v>
      </c>
      <c r="E40" s="17">
        <v>295.08999999999997</v>
      </c>
      <c r="F40" s="17">
        <v>295.08999999999997</v>
      </c>
    </row>
    <row r="41" spans="1:8" x14ac:dyDescent="0.35">
      <c r="A41" s="14" t="s">
        <v>33</v>
      </c>
      <c r="B41" s="17">
        <v>206.21</v>
      </c>
      <c r="C41" s="17">
        <v>206.21</v>
      </c>
      <c r="D41" s="17">
        <v>206.21</v>
      </c>
      <c r="E41" s="17">
        <v>206.21</v>
      </c>
      <c r="F41" s="17">
        <v>206.21</v>
      </c>
    </row>
    <row r="42" spans="1:8" x14ac:dyDescent="0.35">
      <c r="A42" s="14" t="s">
        <v>34</v>
      </c>
      <c r="B42" s="17">
        <v>501.3</v>
      </c>
      <c r="C42" s="17">
        <v>501.3</v>
      </c>
      <c r="D42" s="17">
        <v>501.3</v>
      </c>
      <c r="E42" s="17">
        <v>501.3</v>
      </c>
      <c r="F42" s="17">
        <v>501.3</v>
      </c>
    </row>
  </sheetData>
  <mergeCells count="7">
    <mergeCell ref="A37:H37"/>
    <mergeCell ref="A1:H1"/>
    <mergeCell ref="A4:H4"/>
    <mergeCell ref="A8:H8"/>
    <mergeCell ref="A16:H16"/>
    <mergeCell ref="A20:H20"/>
    <mergeCell ref="A27:H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4EDD-BCF7-4BED-BAA6-CCD0B740B6EB}">
  <sheetPr>
    <tabColor theme="3" tint="0.749992370372631"/>
  </sheetPr>
  <dimension ref="A1:Z63"/>
  <sheetViews>
    <sheetView topLeftCell="A8" zoomScaleNormal="100" workbookViewId="0">
      <selection activeCell="A10" sqref="A10"/>
    </sheetView>
  </sheetViews>
  <sheetFormatPr defaultRowHeight="14.5" x14ac:dyDescent="0.35"/>
  <cols>
    <col min="1" max="1" width="35.6328125" customWidth="1"/>
    <col min="2" max="8" width="12.6328125" customWidth="1"/>
  </cols>
  <sheetData>
    <row r="1" spans="1:8" ht="24" customHeight="1" x14ac:dyDescent="0.35">
      <c r="A1" s="141" t="s">
        <v>92</v>
      </c>
      <c r="B1" s="154"/>
      <c r="C1" s="154"/>
      <c r="D1" s="154"/>
      <c r="E1" s="154"/>
      <c r="F1" s="154"/>
      <c r="G1" s="154"/>
      <c r="H1" s="154"/>
    </row>
    <row r="2" spans="1:8" ht="11.5" customHeight="1" x14ac:dyDescent="0.35">
      <c r="A2" s="142" t="s">
        <v>93</v>
      </c>
      <c r="B2" s="155"/>
      <c r="C2" s="155"/>
      <c r="D2" s="155"/>
      <c r="E2" s="155"/>
      <c r="F2" s="155"/>
      <c r="G2" s="155"/>
      <c r="H2" s="155"/>
    </row>
    <row r="4" spans="1:8" x14ac:dyDescent="0.35">
      <c r="A4" s="32" t="s">
        <v>94</v>
      </c>
      <c r="B4" s="32" t="s">
        <v>95</v>
      </c>
      <c r="C4" s="32" t="s">
        <v>96</v>
      </c>
      <c r="D4" s="32" t="s">
        <v>97</v>
      </c>
      <c r="E4" s="32" t="s">
        <v>98</v>
      </c>
      <c r="F4" s="32" t="s">
        <v>99</v>
      </c>
      <c r="G4" s="32" t="s">
        <v>100</v>
      </c>
    </row>
    <row r="5" spans="1:8" ht="11.5" customHeight="1" x14ac:dyDescent="0.35">
      <c r="A5" s="138" t="s">
        <v>101</v>
      </c>
      <c r="B5" s="138"/>
      <c r="C5" s="138"/>
      <c r="D5" s="138"/>
      <c r="E5" s="138"/>
      <c r="F5" s="138"/>
      <c r="G5" s="138"/>
      <c r="H5" s="138"/>
    </row>
    <row r="6" spans="1:8" x14ac:dyDescent="0.35">
      <c r="A6" s="32" t="s">
        <v>56</v>
      </c>
      <c r="B6" s="32" t="s">
        <v>95</v>
      </c>
      <c r="C6" s="32" t="s">
        <v>96</v>
      </c>
      <c r="D6" s="32" t="s">
        <v>97</v>
      </c>
      <c r="E6" s="32" t="s">
        <v>98</v>
      </c>
      <c r="F6" s="32" t="s">
        <v>99</v>
      </c>
      <c r="G6" s="32" t="s">
        <v>102</v>
      </c>
    </row>
    <row r="7" spans="1:8" x14ac:dyDescent="0.35">
      <c r="A7" s="14" t="s">
        <v>103</v>
      </c>
      <c r="B7" s="31">
        <v>528609</v>
      </c>
      <c r="C7" s="31">
        <v>564772</v>
      </c>
      <c r="D7" s="31">
        <v>600338</v>
      </c>
      <c r="E7" s="31">
        <v>632905</v>
      </c>
      <c r="F7" s="31">
        <v>644467</v>
      </c>
    </row>
    <row r="8" spans="1:8" x14ac:dyDescent="0.35">
      <c r="A8" s="14" t="s">
        <v>104</v>
      </c>
      <c r="B8" s="31">
        <v>146154</v>
      </c>
      <c r="C8" s="31">
        <v>178327</v>
      </c>
      <c r="D8" s="31">
        <v>189912</v>
      </c>
      <c r="E8" s="31">
        <v>196731</v>
      </c>
      <c r="F8" s="31">
        <v>203054</v>
      </c>
    </row>
    <row r="9" spans="1:8" x14ac:dyDescent="0.35">
      <c r="A9" s="14" t="s">
        <v>105</v>
      </c>
      <c r="B9" s="31">
        <v>39723</v>
      </c>
      <c r="C9" s="31">
        <v>29172</v>
      </c>
      <c r="D9" s="31">
        <v>43522</v>
      </c>
      <c r="E9" s="31">
        <v>40296</v>
      </c>
      <c r="F9" s="31">
        <v>38801</v>
      </c>
    </row>
    <row r="10" spans="1:8" x14ac:dyDescent="0.35">
      <c r="A10" s="14" t="s">
        <v>106</v>
      </c>
      <c r="B10" s="31">
        <v>43725</v>
      </c>
      <c r="C10" s="31">
        <v>52274</v>
      </c>
      <c r="D10" s="31">
        <v>56042</v>
      </c>
      <c r="E10" s="31">
        <v>60048</v>
      </c>
      <c r="F10" s="31">
        <v>56042</v>
      </c>
    </row>
    <row r="11" spans="1:8" x14ac:dyDescent="0.35">
      <c r="A11" s="14" t="s">
        <v>107</v>
      </c>
      <c r="B11" s="31">
        <v>200347</v>
      </c>
      <c r="C11" s="31">
        <v>224309</v>
      </c>
      <c r="D11" s="31">
        <v>236413</v>
      </c>
      <c r="E11" s="31">
        <v>257221</v>
      </c>
      <c r="F11" s="31">
        <v>247865</v>
      </c>
    </row>
    <row r="12" spans="1:8" x14ac:dyDescent="0.35">
      <c r="A12" s="14" t="s">
        <v>108</v>
      </c>
      <c r="B12" s="31">
        <v>205456</v>
      </c>
      <c r="C12" s="31">
        <v>205620</v>
      </c>
      <c r="D12" s="31">
        <v>205874</v>
      </c>
      <c r="E12" s="31">
        <v>225498</v>
      </c>
      <c r="F12" s="31">
        <v>226525</v>
      </c>
    </row>
    <row r="13" spans="1:8" x14ac:dyDescent="0.35">
      <c r="A13" s="14" t="s">
        <v>109</v>
      </c>
      <c r="B13" s="31">
        <v>210202</v>
      </c>
      <c r="C13" s="31">
        <v>205185</v>
      </c>
      <c r="D13" s="31">
        <v>232799</v>
      </c>
      <c r="E13" s="31">
        <v>261541</v>
      </c>
      <c r="F13" s="31">
        <v>264703</v>
      </c>
    </row>
    <row r="14" spans="1:8" x14ac:dyDescent="0.35">
      <c r="A14" s="14" t="s">
        <v>110</v>
      </c>
      <c r="B14" s="31">
        <v>23624</v>
      </c>
      <c r="C14" s="31">
        <v>28748</v>
      </c>
      <c r="D14" s="31">
        <v>30578</v>
      </c>
      <c r="E14" s="31">
        <v>30490</v>
      </c>
      <c r="F14" s="31">
        <v>30490</v>
      </c>
    </row>
    <row r="15" spans="1:8" x14ac:dyDescent="0.35">
      <c r="A15" s="14" t="s">
        <v>111</v>
      </c>
      <c r="B15" s="31">
        <v>15521</v>
      </c>
      <c r="C15" s="31">
        <v>18581</v>
      </c>
      <c r="D15" s="31">
        <v>21134</v>
      </c>
      <c r="E15" s="31">
        <v>20760</v>
      </c>
      <c r="F15" s="31">
        <v>20760</v>
      </c>
    </row>
    <row r="16" spans="1:8" x14ac:dyDescent="0.35">
      <c r="A16" s="30" t="s">
        <v>114</v>
      </c>
      <c r="B16" s="33">
        <f>B13-B9</f>
        <v>170479</v>
      </c>
      <c r="C16" s="33">
        <f>C13-C9</f>
        <v>176013</v>
      </c>
      <c r="D16" s="33">
        <f>D13-D9</f>
        <v>189277</v>
      </c>
      <c r="E16" s="33">
        <f>E13-E9</f>
        <v>221245</v>
      </c>
      <c r="F16" s="33">
        <f>F13-F9</f>
        <v>225902</v>
      </c>
    </row>
    <row r="17" spans="1:8" x14ac:dyDescent="0.35">
      <c r="A17" s="34" t="s">
        <v>13</v>
      </c>
      <c r="B17" s="35">
        <f>'Historical P&amp;L'!B17</f>
        <v>19275</v>
      </c>
      <c r="C17" s="35">
        <f>'Historical P&amp;L'!C17</f>
        <v>22119</v>
      </c>
      <c r="D17" s="35">
        <f>'Historical P&amp;L'!D17</f>
        <v>22576</v>
      </c>
      <c r="E17" s="35">
        <f>'Historical P&amp;L'!E17</f>
        <v>19060</v>
      </c>
      <c r="F17" s="35">
        <f>'Historical P&amp;L'!F17</f>
        <v>8868</v>
      </c>
    </row>
    <row r="18" spans="1:8" x14ac:dyDescent="0.35">
      <c r="A18" s="34" t="s">
        <v>112</v>
      </c>
      <c r="B18" s="35">
        <f>'Historical P&amp;L'!B34</f>
        <v>14318</v>
      </c>
      <c r="C18" s="35">
        <f>'Historical P&amp;L'!C34</f>
        <v>14163</v>
      </c>
      <c r="D18" s="35">
        <f>'Historical P&amp;L'!D34</f>
        <v>16042</v>
      </c>
      <c r="E18" s="35">
        <f>'Historical P&amp;L'!E34</f>
        <v>10722</v>
      </c>
      <c r="F18" s="35">
        <f>'Historical P&amp;L'!F34</f>
        <v>6673</v>
      </c>
    </row>
    <row r="19" spans="1:8" x14ac:dyDescent="0.35">
      <c r="A19" s="34" t="s">
        <v>113</v>
      </c>
      <c r="B19" s="35">
        <f>'Historical P&amp;L'!B5</f>
        <v>250200</v>
      </c>
      <c r="C19" s="35">
        <f>'Historical P&amp;L'!C5</f>
        <v>279232</v>
      </c>
      <c r="D19" s="35">
        <f>'Historical P&amp;L'!D5</f>
        <v>322284</v>
      </c>
      <c r="E19" s="35">
        <f>'Historical P&amp;L'!E5</f>
        <v>324656</v>
      </c>
      <c r="F19" s="35">
        <f>'Historical P&amp;L'!F5</f>
        <v>321913</v>
      </c>
    </row>
    <row r="20" spans="1:8" x14ac:dyDescent="0.35">
      <c r="A20" s="34"/>
    </row>
    <row r="21" spans="1:8" ht="11.5" customHeight="1" x14ac:dyDescent="0.35">
      <c r="A21" s="138" t="s">
        <v>115</v>
      </c>
      <c r="B21" s="138"/>
      <c r="C21" s="138"/>
      <c r="D21" s="138"/>
      <c r="E21" s="138"/>
      <c r="F21" s="138"/>
      <c r="G21" s="138"/>
      <c r="H21" s="138"/>
    </row>
    <row r="22" spans="1:8" x14ac:dyDescent="0.35">
      <c r="A22" s="32" t="s">
        <v>116</v>
      </c>
      <c r="B22" s="32" t="s">
        <v>95</v>
      </c>
      <c r="C22" s="32" t="s">
        <v>96</v>
      </c>
      <c r="D22" s="32" t="s">
        <v>97</v>
      </c>
      <c r="E22" s="32" t="s">
        <v>98</v>
      </c>
      <c r="F22" s="32" t="s">
        <v>99</v>
      </c>
      <c r="G22" s="32" t="s">
        <v>117</v>
      </c>
    </row>
    <row r="23" spans="1:8" x14ac:dyDescent="0.35">
      <c r="A23" s="34" t="s">
        <v>8</v>
      </c>
      <c r="B23" s="37">
        <f>'Historical P&amp;L'!B11</f>
        <v>0.18881294964028777</v>
      </c>
      <c r="C23" s="37">
        <f>'Historical P&amp;L'!C11</f>
        <v>0.18703801856520744</v>
      </c>
      <c r="D23" s="37">
        <f>'Historical P&amp;L'!D11</f>
        <v>0.18934231919673331</v>
      </c>
      <c r="E23" s="37">
        <f>'Historical P&amp;L'!E11</f>
        <v>0.18318466315115076</v>
      </c>
      <c r="F23" s="37">
        <f>'Historical P&amp;L'!F11</f>
        <v>0.15917965413015317</v>
      </c>
      <c r="G23" s="36" t="s">
        <v>118</v>
      </c>
    </row>
    <row r="24" spans="1:8" x14ac:dyDescent="0.35">
      <c r="A24" s="34" t="s">
        <v>14</v>
      </c>
      <c r="B24" s="37">
        <f>'Historical P&amp;L'!B18</f>
        <v>7.7038369304556362E-2</v>
      </c>
      <c r="C24" s="37">
        <f>'Historical P&amp;L'!C18</f>
        <v>7.9213700435480178E-2</v>
      </c>
      <c r="D24" s="37">
        <f>'Historical P&amp;L'!D18</f>
        <v>7.0050017996549627E-2</v>
      </c>
      <c r="E24" s="37">
        <f>'Historical P&amp;L'!E18</f>
        <v>5.8708294317677788E-2</v>
      </c>
      <c r="F24" s="37">
        <f>'Historical P&amp;L'!F18</f>
        <v>2.7547815714183646E-2</v>
      </c>
      <c r="G24" s="36" t="s">
        <v>119</v>
      </c>
    </row>
    <row r="25" spans="1:8" x14ac:dyDescent="0.35">
      <c r="A25" s="34" t="s">
        <v>120</v>
      </c>
      <c r="B25" s="38">
        <f>B18/B19</f>
        <v>5.7226219024780173E-2</v>
      </c>
      <c r="C25" s="38">
        <f t="shared" ref="C25:F25" si="0">C18/C19</f>
        <v>5.0721264038505617E-2</v>
      </c>
      <c r="D25" s="38">
        <f t="shared" si="0"/>
        <v>4.9775973985677228E-2</v>
      </c>
      <c r="E25" s="38">
        <f t="shared" si="0"/>
        <v>3.3025725691193143E-2</v>
      </c>
      <c r="F25" s="38">
        <f t="shared" si="0"/>
        <v>2.0729203231929123E-2</v>
      </c>
      <c r="G25" s="36" t="s">
        <v>121</v>
      </c>
    </row>
    <row r="26" spans="1:8" x14ac:dyDescent="0.35">
      <c r="A26" s="34" t="s">
        <v>122</v>
      </c>
      <c r="B26" s="38">
        <f>B18/B7</f>
        <v>2.7086182792952825E-2</v>
      </c>
      <c r="C26" s="38">
        <f t="shared" ref="C26:F26" si="1">C18/C7</f>
        <v>2.5077376357184846E-2</v>
      </c>
      <c r="D26" s="38">
        <f t="shared" si="1"/>
        <v>2.6721613491066699E-2</v>
      </c>
      <c r="E26" s="38">
        <f t="shared" si="1"/>
        <v>1.6940931103404146E-2</v>
      </c>
      <c r="F26" s="38">
        <f t="shared" si="1"/>
        <v>1.0354292772166767E-2</v>
      </c>
      <c r="G26" s="36" t="s">
        <v>123</v>
      </c>
    </row>
    <row r="27" spans="1:8" x14ac:dyDescent="0.35">
      <c r="A27" s="34" t="s">
        <v>124</v>
      </c>
      <c r="B27" s="38">
        <f>B18/B8</f>
        <v>9.7965160036673646E-2</v>
      </c>
      <c r="C27" s="38">
        <f t="shared" ref="C27:F27" si="2">C18/C8</f>
        <v>7.9421512165852623E-2</v>
      </c>
      <c r="D27" s="38">
        <f t="shared" si="2"/>
        <v>8.4470702219975574E-2</v>
      </c>
      <c r="E27" s="38">
        <f t="shared" si="2"/>
        <v>5.4500815834820138E-2</v>
      </c>
      <c r="F27" s="38">
        <f t="shared" si="2"/>
        <v>3.2863179252809599E-2</v>
      </c>
      <c r="G27" s="36" t="s">
        <v>125</v>
      </c>
    </row>
    <row r="28" spans="1:8" x14ac:dyDescent="0.35">
      <c r="A28" s="34" t="s">
        <v>126</v>
      </c>
      <c r="B28" s="38">
        <f>B29/B19</f>
        <v>0.12858513189448442</v>
      </c>
      <c r="C28" s="38">
        <f t="shared" ref="C28:F28" si="3">C29/C19</f>
        <v>0.14551340820536329</v>
      </c>
      <c r="D28" s="38">
        <f t="shared" si="3"/>
        <v>0.12252237157289844</v>
      </c>
      <c r="E28" s="38">
        <f t="shared" si="3"/>
        <v>0.12113436991769751</v>
      </c>
      <c r="F28" s="38">
        <f t="shared" si="3"/>
        <v>0.10592613532227652</v>
      </c>
    </row>
    <row r="29" spans="1:8" x14ac:dyDescent="0.35">
      <c r="A29" s="34" t="s">
        <v>127</v>
      </c>
      <c r="B29" s="31">
        <v>32172</v>
      </c>
      <c r="C29" s="31">
        <v>40632</v>
      </c>
      <c r="D29" s="31">
        <v>39487</v>
      </c>
      <c r="E29" s="31">
        <v>39327</v>
      </c>
      <c r="F29" s="31">
        <v>34099</v>
      </c>
    </row>
    <row r="31" spans="1:8" ht="11.5" customHeight="1" x14ac:dyDescent="0.35">
      <c r="A31" s="138" t="s">
        <v>128</v>
      </c>
      <c r="B31" s="138"/>
      <c r="C31" s="138"/>
      <c r="D31" s="138"/>
      <c r="E31" s="138"/>
      <c r="F31" s="138"/>
      <c r="G31" s="138"/>
      <c r="H31" s="138"/>
    </row>
    <row r="32" spans="1:8" x14ac:dyDescent="0.35">
      <c r="A32" s="32" t="s">
        <v>116</v>
      </c>
      <c r="B32" s="32" t="s">
        <v>95</v>
      </c>
      <c r="C32" s="32" t="s">
        <v>96</v>
      </c>
      <c r="D32" s="32" t="s">
        <v>97</v>
      </c>
      <c r="E32" s="32" t="s">
        <v>98</v>
      </c>
      <c r="F32" s="32" t="s">
        <v>99</v>
      </c>
      <c r="G32" s="32" t="s">
        <v>117</v>
      </c>
    </row>
    <row r="33" spans="1:26" x14ac:dyDescent="0.35">
      <c r="A33" s="34" t="s">
        <v>129</v>
      </c>
      <c r="B33" s="39">
        <f>B11/B12</f>
        <v>0.9751333618877035</v>
      </c>
      <c r="C33" s="39">
        <f t="shared" ref="C33:F33" si="4">C11/C12</f>
        <v>1.0908909639140161</v>
      </c>
      <c r="D33" s="39">
        <f t="shared" si="4"/>
        <v>1.1483383040111914</v>
      </c>
      <c r="E33" s="39">
        <f t="shared" si="4"/>
        <v>1.1406797399533477</v>
      </c>
      <c r="F33" s="39">
        <f t="shared" si="4"/>
        <v>1.0942059375344884</v>
      </c>
      <c r="G33" s="36" t="s">
        <v>131</v>
      </c>
    </row>
    <row r="34" spans="1:26" x14ac:dyDescent="0.35">
      <c r="A34" s="34" t="s">
        <v>132</v>
      </c>
      <c r="B34" s="39">
        <f>(B11-B10)/B12</f>
        <v>0.76231407211276381</v>
      </c>
      <c r="C34" s="39">
        <f t="shared" ref="C34:F34" si="5">(C11-C10)/C12</f>
        <v>0.83666472133060987</v>
      </c>
      <c r="D34" s="39">
        <f t="shared" si="5"/>
        <v>0.87612325985797135</v>
      </c>
      <c r="E34" s="39">
        <f t="shared" si="5"/>
        <v>0.87438912983707173</v>
      </c>
      <c r="F34" s="39">
        <f t="shared" si="5"/>
        <v>0.84680719567376672</v>
      </c>
      <c r="G34" s="36" t="s">
        <v>130</v>
      </c>
    </row>
    <row r="35" spans="1:26" x14ac:dyDescent="0.35">
      <c r="A35" s="34" t="s">
        <v>133</v>
      </c>
      <c r="B35" s="39">
        <f>B9/B12</f>
        <v>0.19334066661474963</v>
      </c>
      <c r="C35" s="39">
        <f t="shared" ref="C35:F35" si="6">C9/C12</f>
        <v>0.14187335862270206</v>
      </c>
      <c r="D35" s="39">
        <f t="shared" si="6"/>
        <v>0.2114011482751586</v>
      </c>
      <c r="E35" s="39">
        <f t="shared" si="6"/>
        <v>0.17869781550168959</v>
      </c>
      <c r="F35" s="39">
        <f t="shared" si="6"/>
        <v>0.17128793731376227</v>
      </c>
      <c r="G35" s="36" t="s">
        <v>134</v>
      </c>
    </row>
    <row r="37" spans="1:26" ht="11.5" customHeight="1" x14ac:dyDescent="0.35">
      <c r="A37" s="138" t="s">
        <v>135</v>
      </c>
      <c r="B37" s="138"/>
      <c r="C37" s="138"/>
      <c r="D37" s="138"/>
      <c r="E37" s="138"/>
      <c r="F37" s="138"/>
      <c r="G37" s="138"/>
      <c r="H37" s="138"/>
    </row>
    <row r="38" spans="1:26" x14ac:dyDescent="0.35">
      <c r="A38" s="32" t="s">
        <v>116</v>
      </c>
      <c r="B38" s="32" t="s">
        <v>95</v>
      </c>
      <c r="C38" s="32" t="s">
        <v>96</v>
      </c>
      <c r="D38" s="32" t="s">
        <v>97</v>
      </c>
      <c r="E38" s="32" t="s">
        <v>98</v>
      </c>
      <c r="F38" s="32" t="s">
        <v>99</v>
      </c>
      <c r="G38" s="32" t="s">
        <v>100</v>
      </c>
    </row>
    <row r="39" spans="1:26" x14ac:dyDescent="0.35">
      <c r="A39" s="34" t="s">
        <v>136</v>
      </c>
      <c r="B39" s="39">
        <f>B13/B8</f>
        <v>1.4382226966076879</v>
      </c>
      <c r="C39" s="39">
        <f t="shared" ref="C39:F39" si="7">C13/C8</f>
        <v>1.150610956276952</v>
      </c>
      <c r="D39" s="39">
        <f t="shared" si="7"/>
        <v>1.225825645562155</v>
      </c>
      <c r="E39" s="39">
        <f t="shared" si="7"/>
        <v>1.329434608678856</v>
      </c>
      <c r="F39" s="39">
        <f t="shared" si="7"/>
        <v>1.3036088922158637</v>
      </c>
      <c r="G39" s="36" t="s">
        <v>146</v>
      </c>
    </row>
    <row r="40" spans="1:26" x14ac:dyDescent="0.35">
      <c r="A40" s="34" t="s">
        <v>137</v>
      </c>
      <c r="B40" s="39">
        <f>B16/B8</f>
        <v>1.1664340353325944</v>
      </c>
      <c r="C40" s="39">
        <f t="shared" ref="C40:F40" si="8">C16/C8</f>
        <v>0.98702383822976891</v>
      </c>
      <c r="D40" s="39">
        <f t="shared" si="8"/>
        <v>0.99665634609713971</v>
      </c>
      <c r="E40" s="39">
        <f t="shared" si="8"/>
        <v>1.1246066964535331</v>
      </c>
      <c r="F40" s="39">
        <f t="shared" si="8"/>
        <v>1.1125217922326081</v>
      </c>
      <c r="G40" s="36" t="s">
        <v>141</v>
      </c>
    </row>
    <row r="41" spans="1:26" x14ac:dyDescent="0.35">
      <c r="A41" s="34" t="s">
        <v>138</v>
      </c>
      <c r="B41" s="39">
        <f>B16/B29</f>
        <v>5.2989866965062786</v>
      </c>
      <c r="C41" s="39">
        <f t="shared" ref="C41:F41" si="9">C16/C29</f>
        <v>4.3318812758417007</v>
      </c>
      <c r="D41" s="39">
        <f t="shared" si="9"/>
        <v>4.7934003596120238</v>
      </c>
      <c r="E41" s="39">
        <f t="shared" si="9"/>
        <v>5.6257787270831745</v>
      </c>
      <c r="F41" s="39">
        <f t="shared" si="9"/>
        <v>6.6248863603038215</v>
      </c>
      <c r="G41" s="36" t="s">
        <v>143</v>
      </c>
    </row>
    <row r="42" spans="1:26" x14ac:dyDescent="0.35">
      <c r="A42" s="34" t="s">
        <v>139</v>
      </c>
      <c r="B42" s="39">
        <f>B13/B7</f>
        <v>0.39765119398269799</v>
      </c>
      <c r="C42" s="39">
        <f t="shared" ref="C42:F42" si="10">C13/C7</f>
        <v>0.3633059004341575</v>
      </c>
      <c r="D42" s="39">
        <f t="shared" si="10"/>
        <v>0.38777988399868074</v>
      </c>
      <c r="E42" s="39">
        <f t="shared" si="10"/>
        <v>0.4132389537134325</v>
      </c>
      <c r="F42" s="39">
        <f t="shared" si="10"/>
        <v>0.41073165887469798</v>
      </c>
      <c r="G42" s="36" t="s">
        <v>144</v>
      </c>
    </row>
    <row r="43" spans="1:26" x14ac:dyDescent="0.35">
      <c r="A43" s="34" t="s">
        <v>140</v>
      </c>
      <c r="B43" s="39">
        <f>B17/B44</f>
        <v>47.242647058823529</v>
      </c>
      <c r="C43" s="39">
        <f>C17/C44</f>
        <v>54.213235294117645</v>
      </c>
      <c r="D43" s="39">
        <f>D17/D44</f>
        <v>6.2850779510022274</v>
      </c>
      <c r="E43" s="39">
        <f>E17/E44</f>
        <v>5.5310504933255951</v>
      </c>
      <c r="F43" s="39">
        <f>F17/F44</f>
        <v>2.7328197226502313</v>
      </c>
      <c r="G43" s="36" t="s">
        <v>145</v>
      </c>
    </row>
    <row r="44" spans="1:26" x14ac:dyDescent="0.35">
      <c r="A44" s="40" t="s">
        <v>142</v>
      </c>
      <c r="B44" s="41">
        <v>408</v>
      </c>
      <c r="C44" s="41">
        <v>408</v>
      </c>
      <c r="D44" s="41">
        <v>3592</v>
      </c>
      <c r="E44" s="41">
        <v>3446</v>
      </c>
      <c r="F44" s="41">
        <v>3245</v>
      </c>
    </row>
    <row r="45" spans="1:26" ht="15" customHeight="1" x14ac:dyDescent="0.35">
      <c r="A45" s="49" t="s">
        <v>147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7" spans="1:26" ht="11.5" customHeight="1" x14ac:dyDescent="0.35">
      <c r="A47" s="138" t="s">
        <v>148</v>
      </c>
      <c r="B47" s="138"/>
      <c r="C47" s="138"/>
      <c r="D47" s="138"/>
      <c r="E47" s="138"/>
      <c r="F47" s="138"/>
      <c r="G47" s="138"/>
      <c r="H47" s="138"/>
    </row>
    <row r="48" spans="1:26" x14ac:dyDescent="0.35">
      <c r="A48" s="32" t="s">
        <v>116</v>
      </c>
      <c r="B48" s="32" t="s">
        <v>95</v>
      </c>
      <c r="C48" s="32" t="s">
        <v>96</v>
      </c>
      <c r="D48" s="32" t="s">
        <v>97</v>
      </c>
      <c r="E48" s="32" t="s">
        <v>98</v>
      </c>
      <c r="F48" s="32" t="s">
        <v>99</v>
      </c>
      <c r="G48" s="32" t="s">
        <v>100</v>
      </c>
    </row>
    <row r="49" spans="1:8" x14ac:dyDescent="0.35">
      <c r="A49" s="34" t="s">
        <v>149</v>
      </c>
      <c r="B49" s="39">
        <f>B19/B7</f>
        <v>0.47331770741701334</v>
      </c>
      <c r="C49" s="39">
        <f t="shared" ref="C49:F49" si="11">C19/C7</f>
        <v>0.49441544552491978</v>
      </c>
      <c r="D49" s="39">
        <f t="shared" si="11"/>
        <v>0.53683758149575744</v>
      </c>
      <c r="E49" s="39">
        <f t="shared" si="11"/>
        <v>0.51296166091277517</v>
      </c>
      <c r="F49" s="39">
        <f t="shared" si="11"/>
        <v>0.4995026898196494</v>
      </c>
      <c r="G49" s="36" t="s">
        <v>151</v>
      </c>
    </row>
    <row r="50" spans="1:8" x14ac:dyDescent="0.35">
      <c r="A50" s="34" t="s">
        <v>150</v>
      </c>
      <c r="B50" s="39">
        <f>-'Historical P&amp;L'!B9/'Ratio Analysis'!B10</f>
        <v>4.6417152658662095</v>
      </c>
      <c r="C50" s="39">
        <f>-'Historical P&amp;L'!C9/'Ratio Analysis'!C10</f>
        <v>4.3425986149902434</v>
      </c>
      <c r="D50" s="39">
        <f>-'Historical P&amp;L'!D9/'Ratio Analysis'!D10</f>
        <v>4.6618964348167449</v>
      </c>
      <c r="E50" s="39">
        <f>-'Historical P&amp;L'!E9/'Ratio Analysis'!E10</f>
        <v>4.4162003730349051</v>
      </c>
      <c r="F50" s="39">
        <f>-'Historical P&amp;L'!F9/'Ratio Analysis'!F10</f>
        <v>4.8297883730059601</v>
      </c>
      <c r="G50" s="36" t="s">
        <v>152</v>
      </c>
    </row>
    <row r="51" spans="1:8" x14ac:dyDescent="0.35">
      <c r="A51" s="34" t="s">
        <v>153</v>
      </c>
      <c r="B51" s="43">
        <f>365/B50</f>
        <v>78.634724254652411</v>
      </c>
      <c r="C51" s="43">
        <f t="shared" ref="C51:F51" si="12">365/C50</f>
        <v>84.051056144137803</v>
      </c>
      <c r="D51" s="43">
        <f t="shared" si="12"/>
        <v>78.294317581584764</v>
      </c>
      <c r="E51" s="43">
        <f t="shared" si="12"/>
        <v>82.650235308314237</v>
      </c>
      <c r="F51" s="43">
        <f t="shared" si="12"/>
        <v>75.572669403076048</v>
      </c>
    </row>
    <row r="52" spans="1:8" x14ac:dyDescent="0.35">
      <c r="A52" s="34" t="s">
        <v>154</v>
      </c>
      <c r="B52" s="43">
        <f>B15/(B19/365)</f>
        <v>22.642545963229416</v>
      </c>
      <c r="C52" s="43">
        <f t="shared" ref="C52:F52" si="13">C15/(C19/365)</f>
        <v>24.288279996562</v>
      </c>
      <c r="D52" s="43">
        <f t="shared" si="13"/>
        <v>23.935131747154685</v>
      </c>
      <c r="E52" s="43">
        <f t="shared" si="13"/>
        <v>23.339781183776058</v>
      </c>
      <c r="F52" s="43">
        <f t="shared" si="13"/>
        <v>23.538657960380601</v>
      </c>
    </row>
    <row r="53" spans="1:8" x14ac:dyDescent="0.35">
      <c r="A53" s="34" t="s">
        <v>155</v>
      </c>
      <c r="B53" s="43">
        <f>B14*365/ABS('Historical P&amp;L'!B9)</f>
        <v>42.485231007247769</v>
      </c>
      <c r="C53" s="43">
        <f>C14*365/ABS('Historical P&amp;L'!C9)</f>
        <v>46.223739565207815</v>
      </c>
      <c r="D53" s="43">
        <f>D14*365/ABS('Historical P&amp;L'!D9)</f>
        <v>42.719454034647214</v>
      </c>
      <c r="E53" s="43">
        <f>E14*365/ABS('Historical P&amp;L'!E9)</f>
        <v>41.966521358754676</v>
      </c>
      <c r="F53" s="43">
        <f>F14*365/ABS('Historical P&amp;L'!F9)</f>
        <v>41.11578262909584</v>
      </c>
    </row>
    <row r="54" spans="1:8" x14ac:dyDescent="0.35">
      <c r="A54" s="34" t="s">
        <v>156</v>
      </c>
      <c r="B54" s="43">
        <f>B51+B52-B53</f>
        <v>58.792039210634066</v>
      </c>
      <c r="C54" s="43">
        <f t="shared" ref="C54:F54" si="14">C51+C52-C53</f>
        <v>62.115596575491985</v>
      </c>
      <c r="D54" s="43">
        <f t="shared" si="14"/>
        <v>59.509995294092235</v>
      </c>
      <c r="E54" s="43">
        <f t="shared" si="14"/>
        <v>64.023495133335615</v>
      </c>
      <c r="F54" s="43">
        <f t="shared" si="14"/>
        <v>57.995544734360813</v>
      </c>
    </row>
    <row r="56" spans="1:8" ht="11.5" customHeight="1" x14ac:dyDescent="0.35">
      <c r="A56" s="138" t="s">
        <v>157</v>
      </c>
      <c r="B56" s="138"/>
      <c r="C56" s="138"/>
      <c r="D56" s="138"/>
      <c r="E56" s="138"/>
      <c r="F56" s="138"/>
      <c r="G56" s="138"/>
      <c r="H56" s="138"/>
    </row>
    <row r="57" spans="1:8" x14ac:dyDescent="0.35">
      <c r="A57" s="32" t="s">
        <v>116</v>
      </c>
      <c r="B57" s="32" t="s">
        <v>95</v>
      </c>
      <c r="C57" s="32" t="s">
        <v>96</v>
      </c>
      <c r="D57" s="32" t="s">
        <v>97</v>
      </c>
      <c r="E57" s="32" t="s">
        <v>98</v>
      </c>
      <c r="F57" s="32" t="s">
        <v>99</v>
      </c>
      <c r="G57" s="32" t="s">
        <v>100</v>
      </c>
    </row>
    <row r="58" spans="1:8" x14ac:dyDescent="0.35">
      <c r="A58" s="34" t="s">
        <v>28</v>
      </c>
      <c r="B58" s="47">
        <f>B18/B19</f>
        <v>5.7226219024780173E-2</v>
      </c>
      <c r="C58" s="47">
        <f t="shared" ref="C58:F58" si="15">C18/C19</f>
        <v>5.0721264038505617E-2</v>
      </c>
      <c r="D58" s="47">
        <f t="shared" si="15"/>
        <v>4.9775973985677228E-2</v>
      </c>
      <c r="E58" s="47">
        <f t="shared" si="15"/>
        <v>3.3025725691193143E-2</v>
      </c>
      <c r="F58" s="47">
        <f t="shared" si="15"/>
        <v>2.0729203231929123E-2</v>
      </c>
    </row>
    <row r="59" spans="1:8" x14ac:dyDescent="0.35">
      <c r="A59" s="34" t="s">
        <v>149</v>
      </c>
      <c r="B59" s="46">
        <f>B19/B7</f>
        <v>0.47331770741701334</v>
      </c>
      <c r="C59" s="46">
        <f t="shared" ref="C59:F59" si="16">C19/C7</f>
        <v>0.49441544552491978</v>
      </c>
      <c r="D59" s="46">
        <f t="shared" si="16"/>
        <v>0.53683758149575744</v>
      </c>
      <c r="E59" s="46">
        <f t="shared" si="16"/>
        <v>0.51296166091277517</v>
      </c>
      <c r="F59" s="46">
        <f t="shared" si="16"/>
        <v>0.4995026898196494</v>
      </c>
    </row>
    <row r="60" spans="1:8" x14ac:dyDescent="0.35">
      <c r="A60" s="34" t="s">
        <v>158</v>
      </c>
      <c r="B60" s="47">
        <f>B7/B8</f>
        <v>3.6167946139004066</v>
      </c>
      <c r="C60" s="47">
        <f t="shared" ref="C60:F60" si="17">C7/C8</f>
        <v>3.167058269359099</v>
      </c>
      <c r="D60" s="47">
        <f t="shared" si="17"/>
        <v>3.161137790134378</v>
      </c>
      <c r="E60" s="47">
        <f t="shared" si="17"/>
        <v>3.2171086407327771</v>
      </c>
      <c r="F60" s="47">
        <f t="shared" si="17"/>
        <v>3.1738700050232942</v>
      </c>
    </row>
    <row r="61" spans="1:8" x14ac:dyDescent="0.35">
      <c r="A61" s="44" t="s">
        <v>159</v>
      </c>
      <c r="B61" s="47">
        <f>B58*B59*B60</f>
        <v>9.7965160036673646E-2</v>
      </c>
      <c r="C61" s="47">
        <f t="shared" ref="C61:F61" si="18">C58*C59*C60</f>
        <v>7.9421512165852623E-2</v>
      </c>
      <c r="D61" s="47">
        <f t="shared" si="18"/>
        <v>8.4470702219975574E-2</v>
      </c>
      <c r="E61" s="47">
        <f t="shared" si="18"/>
        <v>5.4500815834820138E-2</v>
      </c>
      <c r="F61" s="47">
        <f t="shared" si="18"/>
        <v>3.2863179252809599E-2</v>
      </c>
    </row>
    <row r="62" spans="1:8" x14ac:dyDescent="0.35">
      <c r="A62" s="44" t="s">
        <v>160</v>
      </c>
      <c r="B62" s="47">
        <f>B18/B8</f>
        <v>9.7965160036673646E-2</v>
      </c>
      <c r="C62" s="47">
        <f t="shared" ref="C62:F62" si="19">C18/C8</f>
        <v>7.9421512165852623E-2</v>
      </c>
      <c r="D62" s="47">
        <f t="shared" si="19"/>
        <v>8.4470702219975574E-2</v>
      </c>
      <c r="E62" s="47">
        <f t="shared" si="19"/>
        <v>5.4500815834820138E-2</v>
      </c>
      <c r="F62" s="47">
        <f t="shared" si="19"/>
        <v>3.2863179252809599E-2</v>
      </c>
    </row>
    <row r="63" spans="1:8" x14ac:dyDescent="0.35">
      <c r="A63" s="34" t="s">
        <v>161</v>
      </c>
      <c r="B63" s="48" t="str">
        <f>IF(ABS(B61-B62)&lt;0.001,"✓ Match","Check")</f>
        <v>✓ Match</v>
      </c>
      <c r="C63" s="48" t="str">
        <f t="shared" ref="C63:F63" si="20">IF(ABS(C61-C62)&lt;0.001,"✓ Match","Check")</f>
        <v>✓ Match</v>
      </c>
      <c r="D63" s="48" t="str">
        <f t="shared" si="20"/>
        <v>✓ Match</v>
      </c>
      <c r="E63" s="48" t="str">
        <f t="shared" si="20"/>
        <v>✓ Match</v>
      </c>
      <c r="F63" s="48" t="str">
        <f t="shared" si="20"/>
        <v>✓ Match</v>
      </c>
    </row>
  </sheetData>
  <mergeCells count="8">
    <mergeCell ref="A56:H56"/>
    <mergeCell ref="A47:H47"/>
    <mergeCell ref="A37:H37"/>
    <mergeCell ref="A1:H1"/>
    <mergeCell ref="A2:H2"/>
    <mergeCell ref="A5:H5"/>
    <mergeCell ref="A21:H21"/>
    <mergeCell ref="A31:H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11B8-29FF-4B4B-B3FF-FBF26816EE0E}">
  <sheetPr>
    <tabColor rgb="FF00CC99"/>
  </sheetPr>
  <dimension ref="A1:I21"/>
  <sheetViews>
    <sheetView workbookViewId="0">
      <selection activeCell="C6" sqref="C6"/>
    </sheetView>
  </sheetViews>
  <sheetFormatPr defaultRowHeight="14.5" x14ac:dyDescent="0.35"/>
  <cols>
    <col min="1" max="1" width="34.6328125" customWidth="1"/>
    <col min="2" max="7" width="12.6328125" customWidth="1"/>
    <col min="8" max="9" width="11.6328125" customWidth="1"/>
  </cols>
  <sheetData>
    <row r="1" spans="1:9" ht="24" customHeight="1" x14ac:dyDescent="0.35">
      <c r="A1" s="141" t="s">
        <v>162</v>
      </c>
      <c r="B1" s="141"/>
      <c r="C1" s="141"/>
      <c r="D1" s="141"/>
      <c r="E1" s="141"/>
      <c r="F1" s="141"/>
      <c r="G1" s="141"/>
      <c r="H1" s="141"/>
      <c r="I1" s="141"/>
    </row>
    <row r="2" spans="1:9" ht="11.5" customHeight="1" x14ac:dyDescent="0.35">
      <c r="A2" s="142" t="s">
        <v>163</v>
      </c>
      <c r="B2" s="142"/>
      <c r="C2" s="142"/>
      <c r="D2" s="142"/>
      <c r="E2" s="142"/>
      <c r="F2" s="142"/>
      <c r="G2" s="142"/>
      <c r="H2" s="142"/>
      <c r="I2" s="142"/>
    </row>
    <row r="4" spans="1:9" x14ac:dyDescent="0.35">
      <c r="A4" s="32" t="s">
        <v>164</v>
      </c>
      <c r="B4" s="32" t="s">
        <v>165</v>
      </c>
      <c r="C4" s="32" t="s">
        <v>39</v>
      </c>
      <c r="D4" s="32" t="s">
        <v>40</v>
      </c>
      <c r="E4" s="32" t="s">
        <v>41</v>
      </c>
      <c r="F4" s="32" t="s">
        <v>42</v>
      </c>
      <c r="G4" s="32" t="s">
        <v>43</v>
      </c>
      <c r="H4" s="32" t="s">
        <v>166</v>
      </c>
    </row>
    <row r="5" spans="1:9" ht="11.5" customHeight="1" x14ac:dyDescent="0.35">
      <c r="A5" s="138" t="s">
        <v>167</v>
      </c>
      <c r="B5" s="162"/>
      <c r="C5" s="162"/>
      <c r="D5" s="162"/>
      <c r="E5" s="162"/>
      <c r="F5" s="162"/>
      <c r="G5" s="162"/>
      <c r="H5" s="162"/>
      <c r="I5" s="162"/>
    </row>
    <row r="6" spans="1:9" x14ac:dyDescent="0.35">
      <c r="A6" s="3" t="s">
        <v>168</v>
      </c>
      <c r="C6" s="50">
        <f>Assumptions!B8</f>
        <v>2.5000000000000001E-2</v>
      </c>
      <c r="D6" s="50">
        <f>Assumptions!C8</f>
        <v>0.03</v>
      </c>
      <c r="E6" s="50">
        <f>Assumptions!D8</f>
        <v>3.5000000000000003E-2</v>
      </c>
      <c r="F6" s="50">
        <f>Assumptions!E8</f>
        <v>0.03</v>
      </c>
      <c r="G6" s="50">
        <f>Assumptions!F8</f>
        <v>2.5000000000000001E-2</v>
      </c>
    </row>
    <row r="7" spans="1:9" x14ac:dyDescent="0.35">
      <c r="A7" s="53" t="s">
        <v>169</v>
      </c>
      <c r="B7" s="52">
        <v>321913</v>
      </c>
      <c r="C7" s="51">
        <f>B7*(1+C6)</f>
        <v>329960.82499999995</v>
      </c>
      <c r="D7" s="51">
        <f t="shared" ref="D7:F7" si="0">C7*(1+D6)</f>
        <v>339859.64974999998</v>
      </c>
      <c r="E7" s="51">
        <f t="shared" si="0"/>
        <v>351754.73749124998</v>
      </c>
      <c r="F7" s="51">
        <f t="shared" si="0"/>
        <v>362307.37961598748</v>
      </c>
      <c r="G7" s="51">
        <f>F7*(1+G6)</f>
        <v>371365.06410638714</v>
      </c>
      <c r="H7" s="54">
        <f>(G7/B7)^(1/5)-1</f>
        <v>2.8993202885075009E-2</v>
      </c>
    </row>
    <row r="8" spans="1:9" x14ac:dyDescent="0.35">
      <c r="H8" s="45"/>
    </row>
    <row r="9" spans="1:9" ht="11.5" customHeight="1" x14ac:dyDescent="0.35">
      <c r="A9" s="156" t="s">
        <v>170</v>
      </c>
      <c r="B9" s="157"/>
      <c r="C9" s="157"/>
      <c r="D9" s="157"/>
      <c r="E9" s="157"/>
      <c r="F9" s="157"/>
      <c r="G9" s="157"/>
      <c r="H9" s="158"/>
      <c r="I9" s="157"/>
    </row>
    <row r="10" spans="1:9" x14ac:dyDescent="0.35">
      <c r="A10" s="3" t="s">
        <v>168</v>
      </c>
      <c r="C10" s="50">
        <f>Assumptions!B7</f>
        <v>0.05</v>
      </c>
      <c r="D10" s="50">
        <f>Assumptions!C7</f>
        <v>0.06</v>
      </c>
      <c r="E10" s="50">
        <f>Assumptions!D7</f>
        <v>0.06</v>
      </c>
      <c r="F10" s="50">
        <f>Assumptions!E7</f>
        <v>0.05</v>
      </c>
      <c r="G10" s="50">
        <f>Assumptions!F7</f>
        <v>0.05</v>
      </c>
      <c r="H10" s="45"/>
    </row>
    <row r="11" spans="1:9" x14ac:dyDescent="0.35">
      <c r="A11" s="53" t="s">
        <v>171</v>
      </c>
      <c r="B11" s="52">
        <v>321913</v>
      </c>
      <c r="C11" s="51">
        <f>B11*(1+C10)</f>
        <v>338008.65</v>
      </c>
      <c r="D11" s="51">
        <f t="shared" ref="D11:G11" si="1">C11*(1+D10)</f>
        <v>358289.16900000005</v>
      </c>
      <c r="E11" s="51">
        <f t="shared" si="1"/>
        <v>379786.51914000005</v>
      </c>
      <c r="F11" s="51">
        <f t="shared" si="1"/>
        <v>398775.84509700007</v>
      </c>
      <c r="G11" s="51">
        <f t="shared" si="1"/>
        <v>418714.63735185011</v>
      </c>
      <c r="H11" s="54">
        <f>(G11/B11)^(1/5)-1</f>
        <v>5.3988629121547893E-2</v>
      </c>
    </row>
    <row r="12" spans="1:9" x14ac:dyDescent="0.35">
      <c r="H12" s="45"/>
    </row>
    <row r="13" spans="1:9" ht="11.5" customHeight="1" x14ac:dyDescent="0.35">
      <c r="A13" s="159" t="s">
        <v>172</v>
      </c>
      <c r="B13" s="160"/>
      <c r="C13" s="160"/>
      <c r="D13" s="160"/>
      <c r="E13" s="160"/>
      <c r="F13" s="160"/>
      <c r="G13" s="160"/>
      <c r="H13" s="161"/>
      <c r="I13" s="160"/>
    </row>
    <row r="14" spans="1:9" x14ac:dyDescent="0.35">
      <c r="A14" s="3" t="s">
        <v>168</v>
      </c>
      <c r="C14" s="50">
        <f>Assumptions!B9</f>
        <v>0</v>
      </c>
      <c r="D14" s="50">
        <f>Assumptions!C9</f>
        <v>-0.01</v>
      </c>
      <c r="E14" s="50">
        <f>Assumptions!D9</f>
        <v>-0.01</v>
      </c>
      <c r="F14" s="50">
        <f>Assumptions!E9</f>
        <v>0.01</v>
      </c>
      <c r="G14" s="50">
        <f>Assumptions!F9</f>
        <v>0.02</v>
      </c>
      <c r="H14" s="45"/>
    </row>
    <row r="15" spans="1:9" x14ac:dyDescent="0.35">
      <c r="A15" s="53" t="s">
        <v>173</v>
      </c>
      <c r="B15" s="52">
        <v>321913</v>
      </c>
      <c r="C15" s="51">
        <f>B15*(1+C14)</f>
        <v>321913</v>
      </c>
      <c r="D15" s="51">
        <f t="shared" ref="D15:G15" si="2">C15*(1+D14)</f>
        <v>318693.87</v>
      </c>
      <c r="E15" s="51">
        <f t="shared" si="2"/>
        <v>315506.9313</v>
      </c>
      <c r="F15" s="51">
        <f t="shared" si="2"/>
        <v>318662.00061300001</v>
      </c>
      <c r="G15" s="51">
        <f t="shared" si="2"/>
        <v>325035.24062525999</v>
      </c>
      <c r="H15" s="54">
        <f>(G15/B15)^(1/5)-1</f>
        <v>1.932321820747207E-3</v>
      </c>
    </row>
    <row r="16" spans="1:9" x14ac:dyDescent="0.35">
      <c r="C16" s="51"/>
      <c r="D16" s="51"/>
      <c r="E16" s="51"/>
      <c r="F16" s="51"/>
      <c r="G16" s="51"/>
      <c r="H16" s="54"/>
    </row>
    <row r="17" spans="1:9" ht="11.5" customHeight="1" x14ac:dyDescent="0.35">
      <c r="A17" s="138" t="s">
        <v>174</v>
      </c>
      <c r="B17" s="162"/>
      <c r="C17" s="162"/>
      <c r="D17" s="162"/>
      <c r="E17" s="162"/>
      <c r="F17" s="162"/>
      <c r="G17" s="162"/>
      <c r="H17" s="163"/>
      <c r="I17" s="162"/>
    </row>
    <row r="18" spans="1:9" x14ac:dyDescent="0.35">
      <c r="A18" s="32" t="s">
        <v>175</v>
      </c>
      <c r="B18" s="32" t="s">
        <v>165</v>
      </c>
      <c r="C18" s="32" t="s">
        <v>39</v>
      </c>
      <c r="D18" s="32" t="s">
        <v>40</v>
      </c>
      <c r="E18" s="32" t="s">
        <v>41</v>
      </c>
      <c r="F18" s="32" t="s">
        <v>42</v>
      </c>
      <c r="G18" s="32" t="s">
        <v>43</v>
      </c>
      <c r="H18" s="61" t="s">
        <v>176</v>
      </c>
    </row>
    <row r="19" spans="1:9" x14ac:dyDescent="0.35">
      <c r="A19" s="55" t="s">
        <v>177</v>
      </c>
      <c r="B19" s="56">
        <f>B7</f>
        <v>321913</v>
      </c>
      <c r="C19" s="56">
        <f t="shared" ref="C19:G19" si="3">C7</f>
        <v>329960.82499999995</v>
      </c>
      <c r="D19" s="56">
        <f t="shared" si="3"/>
        <v>339859.64974999998</v>
      </c>
      <c r="E19" s="56">
        <f t="shared" si="3"/>
        <v>351754.73749124998</v>
      </c>
      <c r="F19" s="56">
        <f t="shared" si="3"/>
        <v>362307.37961598748</v>
      </c>
      <c r="G19" s="56">
        <f t="shared" si="3"/>
        <v>371365.06410638714</v>
      </c>
      <c r="H19" s="62">
        <f>H7</f>
        <v>2.8993202885075009E-2</v>
      </c>
    </row>
    <row r="20" spans="1:9" x14ac:dyDescent="0.35">
      <c r="A20" s="57" t="s">
        <v>178</v>
      </c>
      <c r="B20" s="58">
        <f>B11</f>
        <v>321913</v>
      </c>
      <c r="C20" s="58">
        <f t="shared" ref="C20:G20" si="4">C11</f>
        <v>338008.65</v>
      </c>
      <c r="D20" s="58">
        <f t="shared" si="4"/>
        <v>358289.16900000005</v>
      </c>
      <c r="E20" s="58">
        <f t="shared" si="4"/>
        <v>379786.51914000005</v>
      </c>
      <c r="F20" s="58">
        <f t="shared" si="4"/>
        <v>398775.84509700007</v>
      </c>
      <c r="G20" s="58">
        <f t="shared" si="4"/>
        <v>418714.63735185011</v>
      </c>
      <c r="H20" s="63">
        <f>H11</f>
        <v>5.3988629121547893E-2</v>
      </c>
    </row>
    <row r="21" spans="1:9" x14ac:dyDescent="0.35">
      <c r="A21" s="59" t="s">
        <v>179</v>
      </c>
      <c r="B21" s="60">
        <f>B15</f>
        <v>321913</v>
      </c>
      <c r="C21" s="60">
        <f t="shared" ref="C21:H21" si="5">C15</f>
        <v>321913</v>
      </c>
      <c r="D21" s="60">
        <f t="shared" si="5"/>
        <v>318693.87</v>
      </c>
      <c r="E21" s="60">
        <f t="shared" si="5"/>
        <v>315506.9313</v>
      </c>
      <c r="F21" s="60">
        <f t="shared" si="5"/>
        <v>318662.00061300001</v>
      </c>
      <c r="G21" s="60">
        <f t="shared" si="5"/>
        <v>325035.24062525999</v>
      </c>
      <c r="H21" s="64">
        <f t="shared" si="5"/>
        <v>1.932321820747207E-3</v>
      </c>
    </row>
  </sheetData>
  <mergeCells count="6">
    <mergeCell ref="A9:I9"/>
    <mergeCell ref="A13:I13"/>
    <mergeCell ref="A17:I17"/>
    <mergeCell ref="A1:I1"/>
    <mergeCell ref="A2:I2"/>
    <mergeCell ref="A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90BE-E65F-44D6-AE29-3875D86C5FF0}">
  <sheetPr>
    <tabColor rgb="FF00CC99"/>
  </sheetPr>
  <dimension ref="A1:H32"/>
  <sheetViews>
    <sheetView zoomScaleNormal="100" workbookViewId="0">
      <selection activeCell="A12" sqref="A12"/>
    </sheetView>
  </sheetViews>
  <sheetFormatPr defaultRowHeight="14.5" x14ac:dyDescent="0.35"/>
  <cols>
    <col min="1" max="1" width="35.6328125" customWidth="1"/>
    <col min="2" max="8" width="12.6328125" customWidth="1"/>
  </cols>
  <sheetData>
    <row r="1" spans="1:8" ht="24" customHeight="1" x14ac:dyDescent="0.35">
      <c r="A1" s="141" t="s">
        <v>180</v>
      </c>
      <c r="B1" s="141"/>
      <c r="C1" s="141"/>
      <c r="D1" s="141"/>
      <c r="E1" s="141"/>
      <c r="F1" s="141"/>
      <c r="G1" s="141"/>
      <c r="H1" s="141"/>
    </row>
    <row r="2" spans="1:8" ht="11.5" customHeight="1" x14ac:dyDescent="0.35">
      <c r="A2" s="142" t="s">
        <v>181</v>
      </c>
      <c r="B2" s="142"/>
      <c r="C2" s="142"/>
      <c r="D2" s="142"/>
      <c r="E2" s="142"/>
      <c r="F2" s="142"/>
      <c r="G2" s="142"/>
      <c r="H2" s="142"/>
    </row>
    <row r="4" spans="1:8" x14ac:dyDescent="0.35">
      <c r="A4" s="8" t="s">
        <v>182</v>
      </c>
      <c r="B4" s="8" t="s">
        <v>165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</row>
    <row r="5" spans="1:8" ht="11.5" customHeight="1" x14ac:dyDescent="0.35">
      <c r="A5" s="138" t="s">
        <v>2</v>
      </c>
      <c r="B5" s="138"/>
      <c r="C5" s="138"/>
      <c r="D5" s="138"/>
      <c r="E5" s="138"/>
      <c r="F5" s="138"/>
      <c r="G5" s="138"/>
      <c r="H5" s="138"/>
    </row>
    <row r="6" spans="1:8" x14ac:dyDescent="0.35">
      <c r="A6" s="65" t="s">
        <v>3</v>
      </c>
      <c r="B6" s="67">
        <f>'Historical P&amp;L'!F5</f>
        <v>321913</v>
      </c>
      <c r="C6" s="67">
        <f>'Revenue Forecast'!C7</f>
        <v>329960.82499999995</v>
      </c>
      <c r="D6" s="67">
        <f>'Revenue Forecast'!D7</f>
        <v>339859.64974999998</v>
      </c>
      <c r="E6" s="67">
        <f>'Revenue Forecast'!E7</f>
        <v>351754.73749124998</v>
      </c>
      <c r="F6" s="67">
        <f>'Revenue Forecast'!F7</f>
        <v>362307.37961598748</v>
      </c>
      <c r="G6" s="67">
        <f>'Revenue Forecast'!G7</f>
        <v>371365.06410638714</v>
      </c>
    </row>
    <row r="7" spans="1:8" x14ac:dyDescent="0.35">
      <c r="A7" s="5" t="s">
        <v>5</v>
      </c>
      <c r="C7" s="47">
        <f>(C6-B6)/B6</f>
        <v>2.4999999999999856E-2</v>
      </c>
      <c r="D7" s="47">
        <f t="shared" ref="D7:G7" si="0">(D6-C6)/C6</f>
        <v>3.0000000000000093E-2</v>
      </c>
      <c r="E7" s="47">
        <f t="shared" si="0"/>
        <v>3.4999999999999996E-2</v>
      </c>
      <c r="F7" s="47">
        <f t="shared" si="0"/>
        <v>2.9999999999999992E-2</v>
      </c>
      <c r="G7" s="47">
        <f t="shared" si="0"/>
        <v>2.4999999999999949E-2</v>
      </c>
    </row>
    <row r="9" spans="1:8" ht="11.5" customHeight="1" x14ac:dyDescent="0.35">
      <c r="A9" s="138" t="s">
        <v>6</v>
      </c>
      <c r="B9" s="138"/>
      <c r="C9" s="138"/>
      <c r="D9" s="138"/>
      <c r="E9" s="138"/>
      <c r="F9" s="138"/>
      <c r="G9" s="138"/>
      <c r="H9" s="138"/>
    </row>
    <row r="10" spans="1:8" x14ac:dyDescent="0.35">
      <c r="A10" s="5" t="s">
        <v>4</v>
      </c>
      <c r="B10" s="67">
        <f>'Historical P&amp;L'!F9</f>
        <v>-270671</v>
      </c>
      <c r="C10" s="66">
        <f>-Assumptions!B13*C6</f>
        <v>-277167.09299999994</v>
      </c>
      <c r="D10" s="66">
        <f>-Assumptions!C13*D6</f>
        <v>-283782.80754124996</v>
      </c>
      <c r="E10" s="66">
        <f>-Assumptions!D13*E6</f>
        <v>-291956.43211773748</v>
      </c>
      <c r="F10" s="66">
        <f>-Assumptions!E13*F6</f>
        <v>-299990.51032203762</v>
      </c>
      <c r="G10" s="66">
        <f>-Assumptions!F13*G6</f>
        <v>-306376.17788776936</v>
      </c>
    </row>
    <row r="11" spans="1:8" x14ac:dyDescent="0.35">
      <c r="A11" s="65" t="s">
        <v>7</v>
      </c>
      <c r="B11" s="66">
        <f>B6+B10</f>
        <v>51242</v>
      </c>
      <c r="C11" s="66">
        <f t="shared" ref="C11:G11" si="1">C6+C10</f>
        <v>52793.732000000018</v>
      </c>
      <c r="D11" s="66">
        <f t="shared" si="1"/>
        <v>56076.842208750022</v>
      </c>
      <c r="E11" s="66">
        <f t="shared" si="1"/>
        <v>59798.3053735125</v>
      </c>
      <c r="F11" s="66">
        <f t="shared" si="1"/>
        <v>62316.869293949858</v>
      </c>
      <c r="G11" s="66">
        <f t="shared" si="1"/>
        <v>64988.886218617787</v>
      </c>
    </row>
    <row r="12" spans="1:8" x14ac:dyDescent="0.35">
      <c r="A12" s="5" t="s">
        <v>8</v>
      </c>
      <c r="B12" s="47">
        <f>B11/B6</f>
        <v>0.15917965413015317</v>
      </c>
      <c r="C12" s="47">
        <f t="shared" ref="C12:G12" si="2">C11/C6</f>
        <v>0.16000000000000009</v>
      </c>
      <c r="D12" s="47">
        <f t="shared" si="2"/>
        <v>0.16500000000000006</v>
      </c>
      <c r="E12" s="47">
        <f t="shared" si="2"/>
        <v>0.17</v>
      </c>
      <c r="F12" s="47">
        <f t="shared" si="2"/>
        <v>0.17200000000000004</v>
      </c>
      <c r="G12" s="47">
        <f t="shared" si="2"/>
        <v>0.1750000000000001</v>
      </c>
    </row>
    <row r="13" spans="1:8" x14ac:dyDescent="0.35">
      <c r="A13" s="5" t="s">
        <v>183</v>
      </c>
      <c r="B13" s="67">
        <f>'Historical P&amp;L'!F12</f>
        <v>-22804</v>
      </c>
      <c r="C13" s="66">
        <f>-Assumptions!B15*C6</f>
        <v>-23427.218574999995</v>
      </c>
      <c r="D13" s="66">
        <f>-Assumptions!C15*D6</f>
        <v>-23790.175482500003</v>
      </c>
      <c r="E13" s="66">
        <f>-Assumptions!D15*E6</f>
        <v>-24271.076886896251</v>
      </c>
      <c r="F13" s="66">
        <f>-Assumptions!E15*F6</f>
        <v>-24636.901813887151</v>
      </c>
      <c r="G13" s="66">
        <f>-Assumptions!F15*G6</f>
        <v>-25252.824359234328</v>
      </c>
    </row>
    <row r="14" spans="1:8" x14ac:dyDescent="0.35">
      <c r="A14" s="5" t="s">
        <v>184</v>
      </c>
      <c r="B14" s="67">
        <f>'Historical P&amp;L'!F13</f>
        <v>-12541</v>
      </c>
      <c r="C14" s="66">
        <f>-Assumptions!B16*C6</f>
        <v>-12868.472174999999</v>
      </c>
      <c r="D14" s="66">
        <f>-Assumptions!C16*D6</f>
        <v>-12914.666690499998</v>
      </c>
      <c r="E14" s="66">
        <f>-Assumptions!D16*E6</f>
        <v>-13366.680024667499</v>
      </c>
      <c r="F14" s="66">
        <f>-Assumptions!E16*F6</f>
        <v>-13405.373045791535</v>
      </c>
      <c r="G14" s="66">
        <f>-Assumptions!F16*G6</f>
        <v>-13740.507371936324</v>
      </c>
    </row>
    <row r="15" spans="1:8" x14ac:dyDescent="0.35">
      <c r="A15" s="5" t="s">
        <v>185</v>
      </c>
      <c r="B15" s="67">
        <f>'Historical P&amp;L'!F14</f>
        <v>-7029</v>
      </c>
      <c r="C15" s="66">
        <f>Assumptions!B17*C6</f>
        <v>-6599.2164999999995</v>
      </c>
      <c r="D15" s="66">
        <f>Assumptions!C17*D6</f>
        <v>-6117.4736954999989</v>
      </c>
      <c r="E15" s="66">
        <f>Assumptions!D17*E6</f>
        <v>-5628.0757998600002</v>
      </c>
      <c r="F15" s="66">
        <f>Assumptions!E17*F6</f>
        <v>-5434.6106942398119</v>
      </c>
      <c r="G15" s="66">
        <f>Assumptions!F17*G6</f>
        <v>-5199.1108974894205</v>
      </c>
    </row>
    <row r="17" spans="1:8" ht="11.5" customHeight="1" x14ac:dyDescent="0.35">
      <c r="A17" s="138" t="s">
        <v>186</v>
      </c>
      <c r="B17" s="138"/>
      <c r="C17" s="138"/>
      <c r="D17" s="138"/>
      <c r="E17" s="138"/>
      <c r="F17" s="138"/>
      <c r="G17" s="138"/>
      <c r="H17" s="138"/>
    </row>
    <row r="18" spans="1:8" x14ac:dyDescent="0.35">
      <c r="A18" s="65" t="s">
        <v>187</v>
      </c>
      <c r="B18" s="66">
        <f>B11+B13+B14+B15</f>
        <v>8868</v>
      </c>
      <c r="C18" s="66">
        <f t="shared" ref="C18:G18" si="3">C11+C13+C14+C15</f>
        <v>9898.8247500000252</v>
      </c>
      <c r="D18" s="66">
        <f t="shared" si="3"/>
        <v>13254.526340250022</v>
      </c>
      <c r="E18" s="66">
        <f t="shared" si="3"/>
        <v>16532.472662088752</v>
      </c>
      <c r="F18" s="66">
        <f t="shared" si="3"/>
        <v>18839.983740031363</v>
      </c>
      <c r="G18" s="66">
        <f t="shared" si="3"/>
        <v>20796.443589957715</v>
      </c>
    </row>
    <row r="19" spans="1:8" x14ac:dyDescent="0.35">
      <c r="A19" s="5" t="s">
        <v>14</v>
      </c>
      <c r="B19" s="47">
        <f>B18/B6</f>
        <v>2.7547815714183646E-2</v>
      </c>
      <c r="C19" s="47">
        <f t="shared" ref="C19:G19" si="4">C18/C6</f>
        <v>3.0000000000000082E-2</v>
      </c>
      <c r="D19" s="47">
        <f t="shared" si="4"/>
        <v>3.9000000000000069E-2</v>
      </c>
      <c r="E19" s="47">
        <f t="shared" si="4"/>
        <v>4.7000000000000007E-2</v>
      </c>
      <c r="F19" s="47">
        <f t="shared" si="4"/>
        <v>5.2000000000000039E-2</v>
      </c>
      <c r="G19" s="47">
        <f t="shared" si="4"/>
        <v>5.6000000000000091E-2</v>
      </c>
    </row>
    <row r="21" spans="1:8" ht="11.5" customHeight="1" x14ac:dyDescent="0.35">
      <c r="A21" s="138" t="s">
        <v>188</v>
      </c>
      <c r="B21" s="138"/>
      <c r="C21" s="138"/>
      <c r="D21" s="138"/>
      <c r="E21" s="138"/>
      <c r="F21" s="138"/>
      <c r="G21" s="138"/>
      <c r="H21" s="138"/>
    </row>
    <row r="22" spans="1:8" x14ac:dyDescent="0.35">
      <c r="A22" s="5" t="s">
        <v>189</v>
      </c>
      <c r="B22" s="69">
        <f>'Historical P&amp;L'!F25</f>
        <v>439</v>
      </c>
      <c r="C22" s="4">
        <v>-1500</v>
      </c>
      <c r="D22" s="4">
        <v>-1500</v>
      </c>
      <c r="E22" s="4">
        <v>-1200</v>
      </c>
      <c r="F22" s="4">
        <v>-1200</v>
      </c>
      <c r="G22" s="4">
        <v>-1000</v>
      </c>
    </row>
    <row r="23" spans="1:8" x14ac:dyDescent="0.35">
      <c r="A23" s="65" t="s">
        <v>21</v>
      </c>
      <c r="B23" s="66">
        <f>B18+B22</f>
        <v>9307</v>
      </c>
      <c r="C23" s="66">
        <f t="shared" ref="C23:G23" si="5">C18+C22</f>
        <v>8398.8247500000252</v>
      </c>
      <c r="D23" s="66">
        <f t="shared" si="5"/>
        <v>11754.526340250022</v>
      </c>
      <c r="E23" s="66">
        <f t="shared" si="5"/>
        <v>15332.472662088752</v>
      </c>
      <c r="F23" s="66">
        <f t="shared" si="5"/>
        <v>17639.983740031363</v>
      </c>
      <c r="G23" s="66">
        <f t="shared" si="5"/>
        <v>19796.443589957715</v>
      </c>
    </row>
    <row r="24" spans="1:8" x14ac:dyDescent="0.35">
      <c r="A24" s="5" t="s">
        <v>22</v>
      </c>
      <c r="B24" s="67">
        <f>'Historical P&amp;L'!F29</f>
        <v>-2403</v>
      </c>
      <c r="C24" s="66">
        <f>-Assumptions!B19*C23</f>
        <v>-2351.6709300000075</v>
      </c>
      <c r="D24" s="66">
        <f>-Assumptions!C19*D23</f>
        <v>-3291.2673752700066</v>
      </c>
      <c r="E24" s="66">
        <f>-Assumptions!D19*E23</f>
        <v>-4293.0923453848509</v>
      </c>
      <c r="F24" s="66">
        <f>-Assumptions!E19*F23</f>
        <v>-4939.1954472087818</v>
      </c>
      <c r="G24" s="66">
        <f>-Assumptions!F19*G23</f>
        <v>-5543.004205188161</v>
      </c>
    </row>
    <row r="25" spans="1:8" x14ac:dyDescent="0.35">
      <c r="A25" s="65" t="s">
        <v>24</v>
      </c>
      <c r="B25" s="66">
        <f>B23+B24</f>
        <v>6904</v>
      </c>
      <c r="C25" s="66">
        <f t="shared" ref="C25:G25" si="6">C23+C24</f>
        <v>6047.1538200000177</v>
      </c>
      <c r="D25" s="66">
        <f t="shared" si="6"/>
        <v>8463.2589649800157</v>
      </c>
      <c r="E25" s="66">
        <f t="shared" si="6"/>
        <v>11039.3803167039</v>
      </c>
      <c r="F25" s="66">
        <f t="shared" si="6"/>
        <v>12700.788292822581</v>
      </c>
      <c r="G25" s="66">
        <f t="shared" si="6"/>
        <v>14253.439384769554</v>
      </c>
    </row>
    <row r="26" spans="1:8" x14ac:dyDescent="0.35">
      <c r="A26" s="5" t="s">
        <v>25</v>
      </c>
      <c r="B26" s="70">
        <f>'Historical P&amp;L'!F32</f>
        <v>419</v>
      </c>
      <c r="C26" s="71">
        <v>-500</v>
      </c>
      <c r="D26" s="71">
        <v>-500</v>
      </c>
      <c r="E26" s="71">
        <v>-500</v>
      </c>
      <c r="F26" s="71">
        <v>-500</v>
      </c>
      <c r="G26" s="71">
        <v>-500</v>
      </c>
    </row>
    <row r="27" spans="1:8" x14ac:dyDescent="0.35">
      <c r="A27" s="5" t="s">
        <v>26</v>
      </c>
      <c r="B27" s="43">
        <f>'Historical P&amp;L'!F33</f>
        <v>-650</v>
      </c>
      <c r="C27" s="43">
        <v>-650</v>
      </c>
      <c r="D27" s="43">
        <v>-650</v>
      </c>
      <c r="E27" s="43">
        <v>-650</v>
      </c>
      <c r="F27" s="43">
        <v>-650</v>
      </c>
      <c r="G27" s="43">
        <v>-650</v>
      </c>
    </row>
    <row r="28" spans="1:8" x14ac:dyDescent="0.35">
      <c r="A28" s="65" t="s">
        <v>190</v>
      </c>
      <c r="B28" s="66">
        <f>B25+B26+B27</f>
        <v>6673</v>
      </c>
      <c r="C28" s="66">
        <f t="shared" ref="C28:G28" si="7">C25+C26+C27</f>
        <v>4897.1538200000177</v>
      </c>
      <c r="D28" s="66">
        <f t="shared" si="7"/>
        <v>7313.2589649800157</v>
      </c>
      <c r="E28" s="66">
        <f t="shared" si="7"/>
        <v>9889.3803167039005</v>
      </c>
      <c r="F28" s="66">
        <f t="shared" si="7"/>
        <v>11550.788292822581</v>
      </c>
      <c r="G28" s="66">
        <f t="shared" si="7"/>
        <v>13103.439384769554</v>
      </c>
    </row>
    <row r="29" spans="1:8" x14ac:dyDescent="0.35">
      <c r="A29" s="5" t="s">
        <v>28</v>
      </c>
      <c r="B29" s="47">
        <f>B28/B6</f>
        <v>2.0729203231929123E-2</v>
      </c>
      <c r="C29" s="47">
        <f t="shared" ref="C29:G29" si="8">C28/C6</f>
        <v>1.4841621941028964E-2</v>
      </c>
      <c r="D29" s="47">
        <f t="shared" si="8"/>
        <v>2.1518467903911608E-2</v>
      </c>
      <c r="E29" s="47">
        <f t="shared" si="8"/>
        <v>2.8114419686955609E-2</v>
      </c>
      <c r="F29" s="47">
        <f t="shared" si="8"/>
        <v>3.1881184162092846E-2</v>
      </c>
      <c r="G29" s="47">
        <f t="shared" si="8"/>
        <v>3.5284523643332628E-2</v>
      </c>
    </row>
    <row r="31" spans="1:8" ht="11.5" customHeight="1" x14ac:dyDescent="0.35">
      <c r="A31" s="138" t="s">
        <v>191</v>
      </c>
      <c r="B31" s="138"/>
      <c r="C31" s="138"/>
      <c r="D31" s="138"/>
      <c r="E31" s="138"/>
      <c r="F31" s="138"/>
      <c r="G31" s="138"/>
      <c r="H31" s="138"/>
    </row>
    <row r="32" spans="1:8" x14ac:dyDescent="0.35">
      <c r="A32" s="5" t="s">
        <v>31</v>
      </c>
      <c r="B32" s="72">
        <f>'Historical P&amp;L'!F38</f>
        <v>13.29</v>
      </c>
      <c r="C32" s="73">
        <f>C28/501.3</f>
        <v>9.7689084779573463</v>
      </c>
      <c r="D32" s="73">
        <f t="shared" ref="D32:G32" si="9">D28/501.3</f>
        <v>14.588587602194325</v>
      </c>
      <c r="E32" s="73">
        <f t="shared" si="9"/>
        <v>19.727469213452824</v>
      </c>
      <c r="F32" s="73">
        <f t="shared" si="9"/>
        <v>23.041668248199841</v>
      </c>
      <c r="G32" s="73">
        <f t="shared" si="9"/>
        <v>26.138917583821172</v>
      </c>
    </row>
  </sheetData>
  <mergeCells count="7">
    <mergeCell ref="A21:H21"/>
    <mergeCell ref="A31:H31"/>
    <mergeCell ref="A1:H1"/>
    <mergeCell ref="A2:H2"/>
    <mergeCell ref="A5:H5"/>
    <mergeCell ref="A9:H9"/>
    <mergeCell ref="A17:H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8392-2191-4779-9F67-5D0EF86D0D08}">
  <sheetPr>
    <tabColor rgb="FFFF9900"/>
  </sheetPr>
  <dimension ref="A1:H35"/>
  <sheetViews>
    <sheetView zoomScale="110" zoomScaleNormal="110" workbookViewId="0">
      <selection activeCell="A30" sqref="A30"/>
    </sheetView>
  </sheetViews>
  <sheetFormatPr defaultRowHeight="14.5" x14ac:dyDescent="0.35"/>
  <cols>
    <col min="1" max="1" width="35.6328125" customWidth="1"/>
    <col min="2" max="8" width="12.6328125" customWidth="1"/>
  </cols>
  <sheetData>
    <row r="1" spans="1:8" ht="24" customHeight="1" x14ac:dyDescent="0.35">
      <c r="A1" s="141" t="s">
        <v>192</v>
      </c>
      <c r="B1" s="141"/>
      <c r="C1" s="141"/>
      <c r="D1" s="141"/>
      <c r="E1" s="141"/>
      <c r="F1" s="141"/>
      <c r="G1" s="141"/>
      <c r="H1" s="141"/>
    </row>
    <row r="2" spans="1:8" ht="11.5" customHeight="1" x14ac:dyDescent="0.35">
      <c r="A2" s="142" t="s">
        <v>193</v>
      </c>
      <c r="B2" s="142"/>
      <c r="C2" s="142"/>
      <c r="D2" s="142"/>
      <c r="E2" s="142"/>
      <c r="F2" s="142"/>
      <c r="G2" s="142"/>
      <c r="H2" s="142"/>
    </row>
    <row r="4" spans="1:8" x14ac:dyDescent="0.35">
      <c r="A4" s="8" t="s">
        <v>194</v>
      </c>
      <c r="B4" s="8" t="s">
        <v>165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</row>
    <row r="5" spans="1:8" ht="11.5" customHeight="1" x14ac:dyDescent="0.35">
      <c r="A5" s="138" t="s">
        <v>195</v>
      </c>
      <c r="B5" s="138"/>
      <c r="C5" s="138"/>
      <c r="D5" s="138"/>
      <c r="E5" s="138"/>
      <c r="F5" s="138"/>
      <c r="G5" s="138"/>
      <c r="H5" s="138"/>
    </row>
    <row r="6" spans="1:8" x14ac:dyDescent="0.35">
      <c r="A6" s="53" t="s">
        <v>187</v>
      </c>
      <c r="B6" s="67">
        <f>'Historical P&amp;L'!F17</f>
        <v>8868</v>
      </c>
      <c r="C6" s="67">
        <f>'Projected P&amp;L'!C18</f>
        <v>9898.8247500000252</v>
      </c>
      <c r="D6" s="67">
        <f>'Projected P&amp;L'!D18</f>
        <v>13254.526340250022</v>
      </c>
      <c r="E6" s="67">
        <f>'Projected P&amp;L'!E18</f>
        <v>16532.472662088752</v>
      </c>
      <c r="F6" s="67">
        <f>'Projected P&amp;L'!F18</f>
        <v>18839.983740031363</v>
      </c>
      <c r="G6" s="67">
        <f>'Projected P&amp;L'!G18</f>
        <v>20796.443589957715</v>
      </c>
    </row>
    <row r="7" spans="1:8" x14ac:dyDescent="0.35">
      <c r="A7" s="3" t="s">
        <v>54</v>
      </c>
      <c r="B7" s="50">
        <f>ABS('Historical P&amp;L'!F30)</f>
        <v>0.25819275813903514</v>
      </c>
      <c r="C7" s="50">
        <f>Assumptions!B19</f>
        <v>0.28000000000000003</v>
      </c>
      <c r="D7" s="50">
        <f>Assumptions!C19</f>
        <v>0.28000000000000003</v>
      </c>
      <c r="E7" s="50">
        <f>Assumptions!D19</f>
        <v>0.28000000000000003</v>
      </c>
      <c r="F7" s="50">
        <f>Assumptions!E19</f>
        <v>0.28000000000000003</v>
      </c>
      <c r="G7" s="50">
        <f>Assumptions!F19</f>
        <v>0.28000000000000003</v>
      </c>
    </row>
    <row r="8" spans="1:8" x14ac:dyDescent="0.35">
      <c r="A8" s="3" t="s">
        <v>196</v>
      </c>
      <c r="B8" s="66">
        <f>-B6*B7</f>
        <v>-2289.6533791769634</v>
      </c>
      <c r="C8" s="66">
        <f t="shared" ref="C8:G8" si="0">-C6*C7</f>
        <v>-2771.6709300000075</v>
      </c>
      <c r="D8" s="66">
        <f t="shared" si="0"/>
        <v>-3711.2673752700066</v>
      </c>
      <c r="E8" s="66">
        <f t="shared" si="0"/>
        <v>-4629.0923453848509</v>
      </c>
      <c r="F8" s="66">
        <f t="shared" si="0"/>
        <v>-5275.1954472087818</v>
      </c>
      <c r="G8" s="66">
        <f t="shared" si="0"/>
        <v>-5823.004205188161</v>
      </c>
    </row>
    <row r="9" spans="1:8" x14ac:dyDescent="0.35">
      <c r="A9" s="3" t="s">
        <v>197</v>
      </c>
      <c r="B9" s="66">
        <f>B6+B8</f>
        <v>6578.3466208230366</v>
      </c>
      <c r="C9" s="66">
        <f t="shared" ref="C9:G9" si="1">C6+C8</f>
        <v>7127.1538200000177</v>
      </c>
      <c r="D9" s="66">
        <f t="shared" si="1"/>
        <v>9543.2589649800157</v>
      </c>
      <c r="E9" s="66">
        <f t="shared" si="1"/>
        <v>11903.3803167039</v>
      </c>
      <c r="F9" s="66">
        <f t="shared" si="1"/>
        <v>13564.788292822581</v>
      </c>
      <c r="G9" s="66">
        <f t="shared" si="1"/>
        <v>14973.439384769554</v>
      </c>
    </row>
    <row r="11" spans="1:8" ht="11.5" customHeight="1" x14ac:dyDescent="0.35">
      <c r="A11" s="138" t="s">
        <v>198</v>
      </c>
      <c r="B11" s="138"/>
      <c r="C11" s="138"/>
      <c r="D11" s="138"/>
      <c r="E11" s="138"/>
      <c r="F11" s="138"/>
      <c r="G11" s="138"/>
      <c r="H11" s="138"/>
    </row>
    <row r="12" spans="1:8" x14ac:dyDescent="0.35">
      <c r="A12" s="3" t="s">
        <v>199</v>
      </c>
      <c r="B12" s="4">
        <v>16866</v>
      </c>
      <c r="C12" s="66">
        <f>Assumptions!B25*'Projected P&amp;L'!C6</f>
        <v>13198.432999999999</v>
      </c>
      <c r="D12" s="66">
        <f>Assumptions!C25*'Projected P&amp;L'!D6</f>
        <v>13594.385989999999</v>
      </c>
      <c r="E12" s="66">
        <f>Assumptions!D25*'Projected P&amp;L'!E6</f>
        <v>13718.434762158749</v>
      </c>
      <c r="F12" s="66">
        <f>Assumptions!E25*'Projected P&amp;L'!F6</f>
        <v>14129.987805023511</v>
      </c>
      <c r="G12" s="66">
        <f>Assumptions!F25*'Projected P&amp;L'!G6</f>
        <v>14111.872436042711</v>
      </c>
    </row>
    <row r="13" spans="1:8" x14ac:dyDescent="0.35">
      <c r="A13" s="3" t="s">
        <v>200</v>
      </c>
      <c r="B13" s="4">
        <v>8365</v>
      </c>
      <c r="C13" s="66">
        <f>Assumptions!B26*'Projected P&amp;L'!C6</f>
        <v>7919.0597999999991</v>
      </c>
      <c r="D13" s="66">
        <f>Assumptions!C26*'Projected P&amp;L'!D6</f>
        <v>8156.6315939999995</v>
      </c>
      <c r="E13" s="66">
        <f>Assumptions!D26*'Projected P&amp;L'!E6</f>
        <v>8090.3589622987492</v>
      </c>
      <c r="F13" s="66">
        <f>Assumptions!E26*'Projected P&amp;L'!F6</f>
        <v>8333.0697311677122</v>
      </c>
      <c r="G13" s="66">
        <f>Assumptions!F26*'Projected P&amp;L'!G6</f>
        <v>8170.0314103405171</v>
      </c>
    </row>
    <row r="14" spans="1:8" x14ac:dyDescent="0.35">
      <c r="A14" s="53" t="s">
        <v>201</v>
      </c>
      <c r="B14" s="75">
        <f>B12+B13</f>
        <v>25231</v>
      </c>
      <c r="C14" s="75">
        <f t="shared" ref="C14:G14" si="2">C12+C13</f>
        <v>21117.4928</v>
      </c>
      <c r="D14" s="75">
        <f t="shared" si="2"/>
        <v>21751.017583999997</v>
      </c>
      <c r="E14" s="75">
        <f t="shared" si="2"/>
        <v>21808.793724457501</v>
      </c>
      <c r="F14" s="75">
        <f t="shared" si="2"/>
        <v>22463.057536191223</v>
      </c>
      <c r="G14" s="75">
        <f t="shared" si="2"/>
        <v>22281.903846383229</v>
      </c>
    </row>
    <row r="16" spans="1:8" ht="11.5" customHeight="1" x14ac:dyDescent="0.35">
      <c r="A16" s="138" t="s">
        <v>202</v>
      </c>
      <c r="B16" s="138"/>
      <c r="C16" s="138"/>
      <c r="D16" s="138"/>
      <c r="E16" s="138"/>
      <c r="F16" s="138"/>
      <c r="G16" s="138"/>
      <c r="H16" s="138"/>
    </row>
    <row r="17" spans="1:8" x14ac:dyDescent="0.35">
      <c r="A17" s="3" t="s">
        <v>203</v>
      </c>
      <c r="B17" s="9">
        <v>-15299</v>
      </c>
      <c r="C17" s="66">
        <f>-Assumptions!B23*'Projected P&amp;L'!C6</f>
        <v>-15838.119599999998</v>
      </c>
      <c r="D17" s="66">
        <f>-Assumptions!C23*'Projected P&amp;L'!D6</f>
        <v>-15973.403538249999</v>
      </c>
      <c r="E17" s="66">
        <f>-Assumptions!D23*'Projected P&amp;L'!E6</f>
        <v>-16180.717924597498</v>
      </c>
      <c r="F17" s="66">
        <f>-Assumptions!E23*'Projected P&amp;L'!F6</f>
        <v>-16303.832082719437</v>
      </c>
      <c r="G17" s="66">
        <f>-Assumptions!F23*'Projected P&amp;L'!G6</f>
        <v>-16340.062820681034</v>
      </c>
    </row>
    <row r="18" spans="1:8" x14ac:dyDescent="0.35">
      <c r="A18" s="3" t="s">
        <v>204</v>
      </c>
      <c r="B18" s="9">
        <v>-9047</v>
      </c>
      <c r="C18" s="66">
        <f>-Assumptions!B24*'Projected P&amp;L'!C6</f>
        <v>-9238.9030999999995</v>
      </c>
      <c r="D18" s="66">
        <f>-Assumptions!C24*'Projected P&amp;L'!D6</f>
        <v>-9176.2105432499993</v>
      </c>
      <c r="E18" s="66">
        <f>-Assumptions!D24*'Projected P&amp;L'!E6</f>
        <v>-9145.6231747724996</v>
      </c>
      <c r="F18" s="66">
        <f>-Assumptions!E24*'Projected P&amp;L'!F6</f>
        <v>-9057.684490399688</v>
      </c>
      <c r="G18" s="66">
        <f>-Assumptions!F24*'Projected P&amp;L'!G6</f>
        <v>-8912.7615385532918</v>
      </c>
    </row>
    <row r="19" spans="1:8" x14ac:dyDescent="0.35">
      <c r="A19" s="53" t="s">
        <v>205</v>
      </c>
      <c r="B19" s="76">
        <f>B17+B18</f>
        <v>-24346</v>
      </c>
      <c r="C19" s="76">
        <f t="shared" ref="C19:G19" si="3">C17+C18</f>
        <v>-25077.022699999998</v>
      </c>
      <c r="D19" s="76">
        <f t="shared" si="3"/>
        <v>-25149.614081499996</v>
      </c>
      <c r="E19" s="76">
        <f t="shared" si="3"/>
        <v>-25326.341099369998</v>
      </c>
      <c r="F19" s="76">
        <f t="shared" si="3"/>
        <v>-25361.516573119123</v>
      </c>
      <c r="G19" s="76">
        <f t="shared" si="3"/>
        <v>-25252.824359234328</v>
      </c>
    </row>
    <row r="21" spans="1:8" ht="11.5" customHeight="1" x14ac:dyDescent="0.35">
      <c r="A21" s="138" t="s">
        <v>206</v>
      </c>
      <c r="B21" s="138"/>
      <c r="C21" s="138"/>
      <c r="D21" s="138"/>
      <c r="E21" s="138"/>
      <c r="F21" s="138"/>
      <c r="G21" s="138"/>
      <c r="H21" s="138"/>
    </row>
    <row r="22" spans="1:8" x14ac:dyDescent="0.35">
      <c r="A22" s="3" t="s">
        <v>207</v>
      </c>
      <c r="B22" s="66">
        <v>896</v>
      </c>
      <c r="C22" s="66">
        <f>('Projected P&amp;L'!C6-'Projected P&amp;L'!B6)*0.015</f>
        <v>120.71737499999929</v>
      </c>
      <c r="D22" s="66">
        <f>('Projected P&amp;L'!D6-'Projected P&amp;L'!C6)*0.015</f>
        <v>148.48237125000043</v>
      </c>
      <c r="E22" s="66">
        <f>('Projected P&amp;L'!E6-'Projected P&amp;L'!D6)*0.015</f>
        <v>178.42631611874995</v>
      </c>
      <c r="F22" s="66">
        <f>('Projected P&amp;L'!F6-'Projected P&amp;L'!E6)*0.015</f>
        <v>158.28963187106245</v>
      </c>
      <c r="G22" s="66">
        <f>('Projected P&amp;L'!G6-'Projected P&amp;L'!F6)*0.015</f>
        <v>135.865267355995</v>
      </c>
    </row>
    <row r="24" spans="1:8" ht="11.5" customHeight="1" x14ac:dyDescent="0.35">
      <c r="A24" s="138" t="s">
        <v>208</v>
      </c>
      <c r="B24" s="138"/>
      <c r="C24" s="138"/>
      <c r="D24" s="138"/>
      <c r="E24" s="138"/>
      <c r="F24" s="138"/>
      <c r="G24" s="138"/>
      <c r="H24" s="138"/>
    </row>
    <row r="26" spans="1:8" x14ac:dyDescent="0.35">
      <c r="A26" s="112" t="s">
        <v>209</v>
      </c>
      <c r="B26" s="78">
        <f>B9+B14+B19-B22</f>
        <v>6567.3466208230384</v>
      </c>
      <c r="C26" s="78">
        <f t="shared" ref="C26:G26" si="4">C9+C14+C19-C22</f>
        <v>3046.9065450000207</v>
      </c>
      <c r="D26" s="78">
        <f t="shared" si="4"/>
        <v>5996.1800962300185</v>
      </c>
      <c r="E26" s="78">
        <f t="shared" si="4"/>
        <v>8207.4066256726528</v>
      </c>
      <c r="F26" s="78">
        <f t="shared" si="4"/>
        <v>10508.039624023622</v>
      </c>
      <c r="G26" s="78">
        <f t="shared" si="4"/>
        <v>11866.653604562463</v>
      </c>
      <c r="H26" s="77"/>
    </row>
    <row r="28" spans="1:8" ht="11.5" customHeight="1" x14ac:dyDescent="0.35">
      <c r="A28" s="138" t="s">
        <v>210</v>
      </c>
      <c r="B28" s="138"/>
      <c r="C28" s="138"/>
      <c r="D28" s="138"/>
      <c r="E28" s="138"/>
      <c r="F28" s="138"/>
      <c r="G28" s="138"/>
      <c r="H28" s="138"/>
    </row>
    <row r="29" spans="1:8" x14ac:dyDescent="0.35">
      <c r="A29" s="8" t="s">
        <v>211</v>
      </c>
      <c r="B29" s="8" t="s">
        <v>165</v>
      </c>
      <c r="C29" s="8" t="s">
        <v>39</v>
      </c>
      <c r="D29" s="8" t="s">
        <v>40</v>
      </c>
      <c r="E29" s="8" t="s">
        <v>41</v>
      </c>
      <c r="F29" s="8" t="s">
        <v>42</v>
      </c>
      <c r="G29" s="8" t="s">
        <v>43</v>
      </c>
    </row>
    <row r="30" spans="1:8" x14ac:dyDescent="0.35">
      <c r="A30" s="3" t="s">
        <v>212</v>
      </c>
      <c r="B30" s="66">
        <f>B9</f>
        <v>6578.3466208230366</v>
      </c>
      <c r="C30" s="66">
        <f t="shared" ref="C30:G30" si="5">C9</f>
        <v>7127.1538200000177</v>
      </c>
      <c r="D30" s="66">
        <f t="shared" si="5"/>
        <v>9543.2589649800157</v>
      </c>
      <c r="E30" s="66">
        <f t="shared" si="5"/>
        <v>11903.3803167039</v>
      </c>
      <c r="F30" s="66">
        <f t="shared" si="5"/>
        <v>13564.788292822581</v>
      </c>
      <c r="G30" s="66">
        <f t="shared" si="5"/>
        <v>14973.439384769554</v>
      </c>
    </row>
    <row r="31" spans="1:8" x14ac:dyDescent="0.35">
      <c r="A31" s="3" t="s">
        <v>213</v>
      </c>
      <c r="B31" s="74">
        <f>B14</f>
        <v>25231</v>
      </c>
      <c r="C31" s="74">
        <f t="shared" ref="C31:G31" si="6">C14</f>
        <v>21117.4928</v>
      </c>
      <c r="D31" s="74">
        <f t="shared" si="6"/>
        <v>21751.017583999997</v>
      </c>
      <c r="E31" s="74">
        <f t="shared" si="6"/>
        <v>21808.793724457501</v>
      </c>
      <c r="F31" s="74">
        <f t="shared" si="6"/>
        <v>22463.057536191223</v>
      </c>
      <c r="G31" s="74">
        <f t="shared" si="6"/>
        <v>22281.903846383229</v>
      </c>
    </row>
    <row r="32" spans="1:8" x14ac:dyDescent="0.35">
      <c r="A32" s="3" t="s">
        <v>214</v>
      </c>
      <c r="B32" s="66">
        <f>B19</f>
        <v>-24346</v>
      </c>
      <c r="C32" s="66">
        <f t="shared" ref="C32:G32" si="7">C19</f>
        <v>-25077.022699999998</v>
      </c>
      <c r="D32" s="66">
        <f t="shared" si="7"/>
        <v>-25149.614081499996</v>
      </c>
      <c r="E32" s="66">
        <f t="shared" si="7"/>
        <v>-25326.341099369998</v>
      </c>
      <c r="F32" s="66">
        <f t="shared" si="7"/>
        <v>-25361.516573119123</v>
      </c>
      <c r="G32" s="66">
        <f t="shared" si="7"/>
        <v>-25252.824359234328</v>
      </c>
    </row>
    <row r="33" spans="1:7" x14ac:dyDescent="0.35">
      <c r="A33" s="3" t="s">
        <v>215</v>
      </c>
      <c r="B33" s="66">
        <f>-B22</f>
        <v>-896</v>
      </c>
      <c r="C33" s="66">
        <f t="shared" ref="C33:G33" si="8">-C22</f>
        <v>-120.71737499999929</v>
      </c>
      <c r="D33" s="66">
        <f t="shared" si="8"/>
        <v>-148.48237125000043</v>
      </c>
      <c r="E33" s="66">
        <f t="shared" si="8"/>
        <v>-178.42631611874995</v>
      </c>
      <c r="F33" s="66">
        <f t="shared" si="8"/>
        <v>-158.28963187106245</v>
      </c>
      <c r="G33" s="66">
        <f t="shared" si="8"/>
        <v>-135.865267355995</v>
      </c>
    </row>
    <row r="35" spans="1:7" x14ac:dyDescent="0.35">
      <c r="A35" s="112" t="s">
        <v>216</v>
      </c>
      <c r="B35" s="78">
        <f>B26</f>
        <v>6567.3466208230384</v>
      </c>
      <c r="C35" s="78">
        <f t="shared" ref="C35:G35" si="9">C26</f>
        <v>3046.9065450000207</v>
      </c>
      <c r="D35" s="78">
        <f t="shared" si="9"/>
        <v>5996.1800962300185</v>
      </c>
      <c r="E35" s="78">
        <f t="shared" si="9"/>
        <v>8207.4066256726528</v>
      </c>
      <c r="F35" s="78">
        <f t="shared" si="9"/>
        <v>10508.039624023622</v>
      </c>
      <c r="G35" s="78">
        <f t="shared" si="9"/>
        <v>11866.653604562463</v>
      </c>
    </row>
  </sheetData>
  <mergeCells count="8">
    <mergeCell ref="A21:H21"/>
    <mergeCell ref="A24:H24"/>
    <mergeCell ref="A28:H28"/>
    <mergeCell ref="A1:H1"/>
    <mergeCell ref="A2:H2"/>
    <mergeCell ref="A5:H5"/>
    <mergeCell ref="A11:H11"/>
    <mergeCell ref="A16:H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EC32-E751-41D8-BC57-993DF6596C7C}">
  <sheetPr>
    <tabColor rgb="FFFF9900"/>
  </sheetPr>
  <dimension ref="A1:F41"/>
  <sheetViews>
    <sheetView topLeftCell="A21" zoomScale="110" zoomScaleNormal="110" workbookViewId="0">
      <selection activeCell="A12" sqref="A12"/>
    </sheetView>
  </sheetViews>
  <sheetFormatPr defaultRowHeight="14.5" x14ac:dyDescent="0.35"/>
  <cols>
    <col min="1" max="1" width="40.6328125" customWidth="1"/>
    <col min="2" max="2" width="12.6328125" customWidth="1"/>
    <col min="3" max="3" width="42.6328125" customWidth="1"/>
    <col min="4" max="6" width="12.6328125" customWidth="1"/>
  </cols>
  <sheetData>
    <row r="1" spans="1:6" ht="24" customHeight="1" x14ac:dyDescent="0.35">
      <c r="A1" s="141" t="s">
        <v>217</v>
      </c>
      <c r="B1" s="141"/>
      <c r="C1" s="141"/>
      <c r="D1" s="141"/>
      <c r="E1" s="141"/>
      <c r="F1" s="141"/>
    </row>
    <row r="2" spans="1:6" ht="11.5" customHeight="1" x14ac:dyDescent="0.35">
      <c r="A2" s="142" t="s">
        <v>218</v>
      </c>
      <c r="B2" s="142"/>
      <c r="C2" s="142"/>
      <c r="D2" s="142"/>
      <c r="E2" s="142"/>
      <c r="F2" s="142"/>
    </row>
    <row r="4" spans="1:6" x14ac:dyDescent="0.35">
      <c r="A4" s="8" t="s">
        <v>219</v>
      </c>
      <c r="B4" s="8" t="s">
        <v>220</v>
      </c>
      <c r="C4" s="8" t="s">
        <v>221</v>
      </c>
    </row>
    <row r="5" spans="1:6" ht="11.5" customHeight="1" x14ac:dyDescent="0.35">
      <c r="A5" s="138" t="s">
        <v>222</v>
      </c>
      <c r="B5" s="138"/>
      <c r="C5" s="138"/>
    </row>
    <row r="6" spans="1:6" x14ac:dyDescent="0.35">
      <c r="A6" s="3" t="s">
        <v>223</v>
      </c>
      <c r="B6" s="80">
        <f>Assumptions!B38</f>
        <v>2.8000000000000001E-2</v>
      </c>
      <c r="C6" s="81" t="s">
        <v>224</v>
      </c>
    </row>
    <row r="8" spans="1:6" ht="11.5" customHeight="1" x14ac:dyDescent="0.35">
      <c r="A8" s="138" t="s">
        <v>225</v>
      </c>
      <c r="B8" s="138"/>
      <c r="C8" s="138"/>
    </row>
    <row r="9" spans="1:6" x14ac:dyDescent="0.35">
      <c r="A9" s="3" t="s">
        <v>226</v>
      </c>
      <c r="B9" s="82">
        <f>B6</f>
        <v>2.8000000000000001E-2</v>
      </c>
      <c r="C9" s="81" t="s">
        <v>227</v>
      </c>
    </row>
    <row r="10" spans="1:6" x14ac:dyDescent="0.35">
      <c r="A10" s="3" t="s">
        <v>228</v>
      </c>
      <c r="B10" s="80">
        <f>Assumptions!B39</f>
        <v>5.5E-2</v>
      </c>
      <c r="C10" s="81" t="s">
        <v>229</v>
      </c>
    </row>
    <row r="11" spans="1:6" x14ac:dyDescent="0.35">
      <c r="A11" s="3" t="s">
        <v>73</v>
      </c>
      <c r="B11" s="83">
        <f>Assumptions!B40</f>
        <v>1.1000000000000001</v>
      </c>
      <c r="C11" s="81" t="s">
        <v>230</v>
      </c>
    </row>
    <row r="12" spans="1:6" x14ac:dyDescent="0.35">
      <c r="A12" s="85" t="s">
        <v>231</v>
      </c>
      <c r="B12" s="86">
        <f>B9+B11*B10</f>
        <v>8.8500000000000009E-2</v>
      </c>
      <c r="C12" s="84" t="s">
        <v>232</v>
      </c>
    </row>
    <row r="14" spans="1:6" ht="11.5" customHeight="1" x14ac:dyDescent="0.35">
      <c r="A14" s="138" t="s">
        <v>233</v>
      </c>
      <c r="B14" s="138"/>
      <c r="C14" s="138"/>
    </row>
    <row r="15" spans="1:6" x14ac:dyDescent="0.35">
      <c r="A15" s="3" t="s">
        <v>234</v>
      </c>
      <c r="B15" s="80">
        <f>Assumptions!B42</f>
        <v>4.4999999999999998E-2</v>
      </c>
      <c r="C15" s="81" t="s">
        <v>76</v>
      </c>
    </row>
    <row r="16" spans="1:6" x14ac:dyDescent="0.35">
      <c r="A16" s="3" t="s">
        <v>235</v>
      </c>
      <c r="B16" s="80">
        <f>Assumptions!B43</f>
        <v>0.28000000000000003</v>
      </c>
      <c r="C16" s="81" t="s">
        <v>236</v>
      </c>
    </row>
    <row r="17" spans="1:3" x14ac:dyDescent="0.35">
      <c r="A17" s="85" t="s">
        <v>237</v>
      </c>
      <c r="B17" s="86">
        <f>B15*(1-B16)</f>
        <v>3.2399999999999998E-2</v>
      </c>
      <c r="C17" s="84" t="s">
        <v>238</v>
      </c>
    </row>
    <row r="19" spans="1:3" ht="11.5" customHeight="1" x14ac:dyDescent="0.35">
      <c r="A19" s="138" t="s">
        <v>239</v>
      </c>
      <c r="B19" s="138"/>
      <c r="C19" s="138"/>
    </row>
    <row r="20" spans="1:3" x14ac:dyDescent="0.35">
      <c r="A20" s="3" t="s">
        <v>240</v>
      </c>
      <c r="B20" s="88">
        <f>Assumptions!B45</f>
        <v>42</v>
      </c>
      <c r="C20" s="81" t="s">
        <v>241</v>
      </c>
    </row>
    <row r="21" spans="1:3" x14ac:dyDescent="0.35">
      <c r="A21" s="3" t="s">
        <v>242</v>
      </c>
      <c r="B21" s="88">
        <f>Assumptions!B46</f>
        <v>71.5</v>
      </c>
      <c r="C21" s="81" t="s">
        <v>243</v>
      </c>
    </row>
    <row r="22" spans="1:3" x14ac:dyDescent="0.35">
      <c r="A22" s="3" t="s">
        <v>244</v>
      </c>
      <c r="B22" s="87">
        <f>B20+B21</f>
        <v>113.5</v>
      </c>
      <c r="C22" s="81" t="s">
        <v>245</v>
      </c>
    </row>
    <row r="23" spans="1:3" x14ac:dyDescent="0.35">
      <c r="A23" s="3" t="s">
        <v>246</v>
      </c>
      <c r="B23" s="47">
        <f>B20/B22</f>
        <v>0.37004405286343611</v>
      </c>
      <c r="C23" s="81" t="s">
        <v>247</v>
      </c>
    </row>
    <row r="24" spans="1:3" x14ac:dyDescent="0.35">
      <c r="A24" s="3" t="s">
        <v>248</v>
      </c>
      <c r="B24" s="47">
        <f>1-B23</f>
        <v>0.62995594713656389</v>
      </c>
      <c r="C24" s="81" t="s">
        <v>249</v>
      </c>
    </row>
    <row r="26" spans="1:3" ht="11.5" customHeight="1" x14ac:dyDescent="0.35">
      <c r="A26" s="138" t="s">
        <v>250</v>
      </c>
      <c r="B26" s="138"/>
      <c r="C26" s="138"/>
    </row>
    <row r="27" spans="1:3" x14ac:dyDescent="0.35">
      <c r="A27" s="3" t="s">
        <v>251</v>
      </c>
      <c r="B27" s="89">
        <f>B23*B12</f>
        <v>3.2748898678414101E-2</v>
      </c>
      <c r="C27" s="81" t="s">
        <v>252</v>
      </c>
    </row>
    <row r="28" spans="1:3" x14ac:dyDescent="0.35">
      <c r="A28" s="3" t="s">
        <v>253</v>
      </c>
      <c r="B28" s="89">
        <f>B24*B17</f>
        <v>2.0410572687224668E-2</v>
      </c>
      <c r="C28" s="81" t="s">
        <v>254</v>
      </c>
    </row>
    <row r="29" spans="1:3" x14ac:dyDescent="0.35">
      <c r="A29" s="91" t="s">
        <v>255</v>
      </c>
      <c r="B29" s="90">
        <f>B27+B28</f>
        <v>5.3159471365638769E-2</v>
      </c>
      <c r="C29" s="92" t="s">
        <v>256</v>
      </c>
    </row>
    <row r="31" spans="1:3" ht="11.5" customHeight="1" x14ac:dyDescent="0.35">
      <c r="A31" s="138" t="s">
        <v>257</v>
      </c>
      <c r="B31" s="138"/>
      <c r="C31" s="138"/>
    </row>
    <row r="32" spans="1:3" x14ac:dyDescent="0.35">
      <c r="A32" s="3" t="s">
        <v>258</v>
      </c>
      <c r="B32" s="41" t="s">
        <v>259</v>
      </c>
    </row>
    <row r="33" spans="1:3" x14ac:dyDescent="0.35">
      <c r="A33" s="3" t="s">
        <v>260</v>
      </c>
      <c r="B33" s="80">
        <f>B29</f>
        <v>5.3159471365638769E-2</v>
      </c>
    </row>
    <row r="34" spans="1:3" x14ac:dyDescent="0.35">
      <c r="A34" s="3" t="s">
        <v>261</v>
      </c>
      <c r="B34" s="80">
        <f>B6</f>
        <v>2.8000000000000001E-2</v>
      </c>
    </row>
    <row r="35" spans="1:3" x14ac:dyDescent="0.35">
      <c r="A35" s="3" t="s">
        <v>262</v>
      </c>
      <c r="B35" s="48" t="str">
        <f>IF(B29&gt;B6,"✓ YES — Logical","✗ ERROR — Check")</f>
        <v>✓ YES — Logical</v>
      </c>
    </row>
    <row r="36" spans="1:3" x14ac:dyDescent="0.35">
      <c r="A36" s="3" t="s">
        <v>263</v>
      </c>
      <c r="B36" s="48" t="str">
        <f>IF(B12&gt;B15,"✓ YES — Logical","✗ ERROR — Check")</f>
        <v>✓ YES — Logical</v>
      </c>
    </row>
    <row r="38" spans="1:3" ht="11.5" customHeight="1" x14ac:dyDescent="0.35">
      <c r="A38" s="138" t="s">
        <v>264</v>
      </c>
      <c r="B38" s="138"/>
      <c r="C38" s="138"/>
    </row>
    <row r="39" spans="1:3" x14ac:dyDescent="0.35">
      <c r="A39" s="139" t="s">
        <v>265</v>
      </c>
      <c r="B39" s="140"/>
      <c r="C39" s="140"/>
    </row>
    <row r="40" spans="1:3" x14ac:dyDescent="0.35">
      <c r="A40" s="140"/>
      <c r="B40" s="140"/>
      <c r="C40" s="140"/>
    </row>
    <row r="41" spans="1:3" x14ac:dyDescent="0.35">
      <c r="A41" s="140"/>
      <c r="B41" s="140"/>
      <c r="C41" s="140"/>
    </row>
  </sheetData>
  <mergeCells count="10">
    <mergeCell ref="A26:C26"/>
    <mergeCell ref="A31:C31"/>
    <mergeCell ref="A38:C38"/>
    <mergeCell ref="A39:C41"/>
    <mergeCell ref="A1:F1"/>
    <mergeCell ref="A2:F2"/>
    <mergeCell ref="A5:C5"/>
    <mergeCell ref="A8:C8"/>
    <mergeCell ref="A14:C14"/>
    <mergeCell ref="A19:C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5452-33B7-4C85-B2A2-C5F3393EE508}">
  <sheetPr>
    <tabColor theme="6" tint="0.59999389629810485"/>
  </sheetPr>
  <dimension ref="A1:H45"/>
  <sheetViews>
    <sheetView topLeftCell="A21" workbookViewId="0">
      <selection activeCell="B38" sqref="B38"/>
    </sheetView>
  </sheetViews>
  <sheetFormatPr defaultRowHeight="14.5" x14ac:dyDescent="0.35"/>
  <cols>
    <col min="1" max="1" width="36.6328125" customWidth="1"/>
    <col min="2" max="6" width="14.6328125" customWidth="1"/>
    <col min="7" max="7" width="16.6328125" customWidth="1"/>
    <col min="8" max="8" width="12.6328125" customWidth="1"/>
  </cols>
  <sheetData>
    <row r="1" spans="1:8" ht="24" customHeight="1" x14ac:dyDescent="0.35">
      <c r="A1" s="141" t="s">
        <v>266</v>
      </c>
      <c r="B1" s="141"/>
      <c r="C1" s="141"/>
      <c r="D1" s="141"/>
      <c r="E1" s="141"/>
      <c r="F1" s="141"/>
      <c r="G1" s="141"/>
      <c r="H1" s="141"/>
    </row>
    <row r="2" spans="1:8" ht="11.5" customHeight="1" x14ac:dyDescent="0.35">
      <c r="A2" s="142" t="s">
        <v>267</v>
      </c>
      <c r="B2" s="142"/>
      <c r="C2" s="142"/>
      <c r="D2" s="142"/>
      <c r="E2" s="142"/>
      <c r="F2" s="142"/>
      <c r="G2" s="142"/>
      <c r="H2" s="142"/>
    </row>
    <row r="4" spans="1:8" x14ac:dyDescent="0.35">
      <c r="A4" s="8" t="s">
        <v>268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  <c r="G4" s="8" t="s">
        <v>269</v>
      </c>
    </row>
    <row r="5" spans="1:8" ht="11.5" customHeight="1" x14ac:dyDescent="0.35">
      <c r="A5" s="164" t="s">
        <v>270</v>
      </c>
      <c r="B5" s="164"/>
      <c r="C5" s="164"/>
      <c r="D5" s="164"/>
      <c r="E5" s="164"/>
      <c r="F5" s="164"/>
      <c r="G5" s="164"/>
      <c r="H5" s="164"/>
    </row>
    <row r="6" spans="1:8" x14ac:dyDescent="0.35">
      <c r="A6" s="53" t="s">
        <v>271</v>
      </c>
      <c r="B6" s="93">
        <f>'FCF Build'!C26</f>
        <v>3046.9065450000207</v>
      </c>
      <c r="C6" s="93">
        <f>'FCF Build'!D26</f>
        <v>5996.1800962300185</v>
      </c>
      <c r="D6" s="93">
        <f>'FCF Build'!E26</f>
        <v>8207.4066256726528</v>
      </c>
      <c r="E6" s="93">
        <f>'FCF Build'!F26</f>
        <v>10508.039624023622</v>
      </c>
      <c r="F6" s="93">
        <f>'FCF Build'!G26</f>
        <v>11866.653604562463</v>
      </c>
    </row>
    <row r="7" spans="1:8" x14ac:dyDescent="0.35">
      <c r="A7" s="3" t="s">
        <v>272</v>
      </c>
      <c r="B7" s="68">
        <v>1</v>
      </c>
      <c r="C7" s="68">
        <v>2</v>
      </c>
      <c r="D7" s="68">
        <v>3</v>
      </c>
      <c r="E7" s="68">
        <v>4</v>
      </c>
      <c r="F7" s="68">
        <v>5</v>
      </c>
    </row>
    <row r="8" spans="1:8" x14ac:dyDescent="0.35">
      <c r="A8" s="3" t="s">
        <v>273</v>
      </c>
      <c r="B8" s="94">
        <f>1/(1+WACC!B29)^B7</f>
        <v>0.94952381589778945</v>
      </c>
      <c r="C8" s="94">
        <f>1/(1+WACC!B29)^C7</f>
        <v>0.90159547695709918</v>
      </c>
      <c r="D8" s="94">
        <f>1/(1+WACC!B29)^D7</f>
        <v>0.85608637767649243</v>
      </c>
      <c r="E8" s="94">
        <f>1/(1+WACC!B29)^E7</f>
        <v>0.81287440406949918</v>
      </c>
      <c r="F8" s="94">
        <f>1/(1+WACC!B29)^F7</f>
        <v>0.7718436059977124</v>
      </c>
    </row>
    <row r="9" spans="1:8" x14ac:dyDescent="0.35">
      <c r="A9" s="85" t="s">
        <v>274</v>
      </c>
      <c r="B9" s="95">
        <f>B6*B8</f>
        <v>2893.1103292923694</v>
      </c>
      <c r="C9" s="95">
        <f>C6*C8</f>
        <v>5406.1288537811688</v>
      </c>
      <c r="D9" s="95">
        <f t="shared" ref="D9:F9" si="0">D6*D8</f>
        <v>7026.249008290145</v>
      </c>
      <c r="E9" s="95">
        <f t="shared" si="0"/>
        <v>8541.7164473168868</v>
      </c>
      <c r="F9" s="95">
        <f t="shared" si="0"/>
        <v>9159.2007092712429</v>
      </c>
      <c r="G9" s="95">
        <f>SUM(B9:F9)</f>
        <v>33026.405347951812</v>
      </c>
    </row>
    <row r="11" spans="1:8" ht="11.5" customHeight="1" x14ac:dyDescent="0.35">
      <c r="A11" s="138" t="s">
        <v>275</v>
      </c>
      <c r="B11" s="138"/>
      <c r="C11" s="138"/>
      <c r="D11" s="138"/>
      <c r="E11" s="138"/>
      <c r="F11" s="138"/>
      <c r="G11" s="138"/>
      <c r="H11" s="138"/>
    </row>
    <row r="12" spans="1:8" x14ac:dyDescent="0.35">
      <c r="A12" s="3" t="s">
        <v>276</v>
      </c>
      <c r="B12" s="67">
        <f>'FCF Build'!G26</f>
        <v>11866.653604562463</v>
      </c>
    </row>
    <row r="13" spans="1:8" x14ac:dyDescent="0.35">
      <c r="A13" s="3" t="s">
        <v>85</v>
      </c>
      <c r="B13" s="80">
        <f>Assumptions!B55</f>
        <v>0.02</v>
      </c>
    </row>
    <row r="14" spans="1:8" x14ac:dyDescent="0.35">
      <c r="A14" s="3" t="s">
        <v>277</v>
      </c>
      <c r="B14" s="80">
        <f>WACC!B29</f>
        <v>5.3159471365638769E-2</v>
      </c>
    </row>
    <row r="15" spans="1:8" x14ac:dyDescent="0.35">
      <c r="A15" s="97" t="s">
        <v>278</v>
      </c>
      <c r="B15" s="98">
        <f>B12*(1+B13)/(B14-B13)</f>
        <v>365023.51147842396</v>
      </c>
      <c r="C15" s="99"/>
      <c r="D15" s="97"/>
      <c r="E15" s="96"/>
      <c r="F15" s="96"/>
      <c r="G15" s="99" t="s">
        <v>279</v>
      </c>
    </row>
    <row r="16" spans="1:8" x14ac:dyDescent="0.35">
      <c r="A16" s="85" t="s">
        <v>90</v>
      </c>
      <c r="B16" s="95">
        <f>B15/(1+B14)^5</f>
        <v>281741.06337345415</v>
      </c>
    </row>
    <row r="17" spans="1:8" x14ac:dyDescent="0.35">
      <c r="A17" s="3" t="s">
        <v>280</v>
      </c>
      <c r="B17" s="47">
        <f>B16/(B16+G9)</f>
        <v>0.89507681501488712</v>
      </c>
    </row>
    <row r="19" spans="1:8" ht="11.5" customHeight="1" x14ac:dyDescent="0.35">
      <c r="A19" s="138" t="s">
        <v>281</v>
      </c>
      <c r="B19" s="138"/>
      <c r="C19" s="138"/>
      <c r="D19" s="138"/>
      <c r="E19" s="138"/>
      <c r="F19" s="138"/>
      <c r="G19" s="138"/>
      <c r="H19" s="138"/>
    </row>
    <row r="20" spans="1:8" x14ac:dyDescent="0.35">
      <c r="A20" s="3" t="s">
        <v>282</v>
      </c>
      <c r="B20" s="66">
        <f>G9</f>
        <v>33026.405347951812</v>
      </c>
    </row>
    <row r="21" spans="1:8" x14ac:dyDescent="0.35">
      <c r="A21" s="3" t="s">
        <v>90</v>
      </c>
      <c r="B21" s="66">
        <f>B16</f>
        <v>281741.06337345415</v>
      </c>
    </row>
    <row r="22" spans="1:8" x14ac:dyDescent="0.35">
      <c r="A22" s="91" t="s">
        <v>283</v>
      </c>
      <c r="B22" s="103">
        <f>B20+B21</f>
        <v>314767.46872140595</v>
      </c>
    </row>
    <row r="24" spans="1:8" ht="11.5" customHeight="1" x14ac:dyDescent="0.35">
      <c r="A24" s="138" t="s">
        <v>284</v>
      </c>
      <c r="B24" s="138"/>
      <c r="C24" s="138"/>
      <c r="D24" s="138"/>
      <c r="E24" s="138"/>
      <c r="F24" s="138"/>
      <c r="G24" s="138"/>
      <c r="H24" s="138"/>
    </row>
    <row r="25" spans="1:8" x14ac:dyDescent="0.35">
      <c r="A25" s="3" t="s">
        <v>285</v>
      </c>
      <c r="B25" s="66">
        <f>B22</f>
        <v>314767.46872140595</v>
      </c>
    </row>
    <row r="26" spans="1:8" x14ac:dyDescent="0.35">
      <c r="A26" s="3" t="s">
        <v>286</v>
      </c>
      <c r="B26" s="9">
        <v>-71500</v>
      </c>
    </row>
    <row r="27" spans="1:8" x14ac:dyDescent="0.35">
      <c r="A27" s="3" t="s">
        <v>287</v>
      </c>
      <c r="B27" s="9">
        <v>-22826</v>
      </c>
    </row>
    <row r="28" spans="1:8" x14ac:dyDescent="0.35">
      <c r="A28" s="3" t="s">
        <v>288</v>
      </c>
      <c r="B28" s="9">
        <v>-14777</v>
      </c>
    </row>
    <row r="29" spans="1:8" x14ac:dyDescent="0.35">
      <c r="A29" s="3" t="s">
        <v>289</v>
      </c>
      <c r="B29" s="9">
        <v>38801</v>
      </c>
    </row>
    <row r="30" spans="1:8" x14ac:dyDescent="0.35">
      <c r="A30" s="3" t="s">
        <v>290</v>
      </c>
      <c r="B30" s="9">
        <v>29522</v>
      </c>
    </row>
    <row r="31" spans="1:8" x14ac:dyDescent="0.35">
      <c r="A31" s="101" t="s">
        <v>291</v>
      </c>
      <c r="B31" s="100">
        <f>SUM(B25:B30)</f>
        <v>273987.46872140595</v>
      </c>
      <c r="C31" s="79"/>
      <c r="D31" s="79"/>
      <c r="E31" s="79"/>
      <c r="F31" s="79"/>
      <c r="G31" s="79"/>
    </row>
    <row r="33" spans="1:8" ht="11.5" customHeight="1" x14ac:dyDescent="0.35">
      <c r="A33" s="138" t="s">
        <v>292</v>
      </c>
      <c r="B33" s="138"/>
      <c r="C33" s="138"/>
      <c r="D33" s="138"/>
      <c r="E33" s="138"/>
      <c r="F33" s="138"/>
      <c r="G33" s="138"/>
      <c r="H33" s="138"/>
    </row>
    <row r="34" spans="1:8" x14ac:dyDescent="0.35">
      <c r="A34" s="3" t="s">
        <v>293</v>
      </c>
      <c r="B34" s="67">
        <f>B31</f>
        <v>273987.46872140595</v>
      </c>
    </row>
    <row r="35" spans="1:8" x14ac:dyDescent="0.35">
      <c r="A35" s="3" t="s">
        <v>34</v>
      </c>
      <c r="B35" s="41">
        <v>501.3</v>
      </c>
    </row>
    <row r="36" spans="1:8" x14ac:dyDescent="0.35">
      <c r="A36" s="3" t="s">
        <v>294</v>
      </c>
      <c r="B36" s="41">
        <v>295.08999999999997</v>
      </c>
    </row>
    <row r="37" spans="1:8" x14ac:dyDescent="0.35">
      <c r="A37" s="3" t="s">
        <v>295</v>
      </c>
      <c r="B37" s="41">
        <v>206.21</v>
      </c>
    </row>
    <row r="38" spans="1:8" x14ac:dyDescent="0.35">
      <c r="A38" s="91" t="s">
        <v>296</v>
      </c>
      <c r="B38" s="102">
        <f>B34/B35</f>
        <v>546.55389730980642</v>
      </c>
    </row>
    <row r="40" spans="1:8" ht="11.5" customHeight="1" x14ac:dyDescent="0.35">
      <c r="A40" s="138" t="s">
        <v>297</v>
      </c>
      <c r="B40" s="138"/>
      <c r="C40" s="138"/>
      <c r="D40" s="138"/>
      <c r="E40" s="138"/>
      <c r="F40" s="138"/>
      <c r="G40" s="138"/>
      <c r="H40" s="138"/>
    </row>
    <row r="41" spans="1:8" x14ac:dyDescent="0.35">
      <c r="A41" s="3" t="s">
        <v>298</v>
      </c>
      <c r="B41" s="108">
        <v>86.4</v>
      </c>
    </row>
    <row r="42" spans="1:8" x14ac:dyDescent="0.35">
      <c r="A42" s="3" t="s">
        <v>299</v>
      </c>
      <c r="B42" s="105">
        <f>B38</f>
        <v>546.55389730980642</v>
      </c>
    </row>
    <row r="43" spans="1:8" x14ac:dyDescent="0.35">
      <c r="A43" s="3" t="s">
        <v>300</v>
      </c>
      <c r="B43" s="47">
        <f>(B42-B41)/B41</f>
        <v>5.3258552929375744</v>
      </c>
    </row>
    <row r="44" spans="1:8" x14ac:dyDescent="0.35">
      <c r="A44" s="3" t="s">
        <v>301</v>
      </c>
      <c r="B44" s="104">
        <f>B42-B41</f>
        <v>460.15389730980644</v>
      </c>
    </row>
    <row r="45" spans="1:8" x14ac:dyDescent="0.35">
      <c r="A45" s="107" t="s">
        <v>302</v>
      </c>
      <c r="B45" s="106" t="str">
        <f>IF(B42&gt;B41,"UNDERVALUED ▲","OVERVALUED ▼")</f>
        <v>UNDERVALUED ▲</v>
      </c>
    </row>
  </sheetData>
  <mergeCells count="8">
    <mergeCell ref="A33:H33"/>
    <mergeCell ref="A40:H40"/>
    <mergeCell ref="A1:H1"/>
    <mergeCell ref="A2:H2"/>
    <mergeCell ref="A5:H5"/>
    <mergeCell ref="A11:H11"/>
    <mergeCell ref="A19:H19"/>
    <mergeCell ref="A24:H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AA69-4498-4735-B71F-6CD375D5388B}">
  <sheetPr>
    <tabColor theme="6" tint="0.59999389629810485"/>
  </sheetPr>
  <dimension ref="A1:L38"/>
  <sheetViews>
    <sheetView workbookViewId="0">
      <selection activeCell="A32" sqref="A32"/>
    </sheetView>
  </sheetViews>
  <sheetFormatPr defaultRowHeight="14.5" x14ac:dyDescent="0.35"/>
  <cols>
    <col min="1" max="1" width="24.6328125" customWidth="1"/>
    <col min="2" max="2" width="12.6328125" customWidth="1"/>
    <col min="3" max="11" width="10.6328125" customWidth="1"/>
    <col min="12" max="12" width="18.6328125" customWidth="1"/>
  </cols>
  <sheetData>
    <row r="1" spans="1:12" ht="24" customHeight="1" x14ac:dyDescent="0.35">
      <c r="A1" s="141" t="s">
        <v>317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1.5" customHeight="1" x14ac:dyDescent="0.35">
      <c r="A2" s="142" t="s">
        <v>318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spans="1:12" ht="11.5" customHeight="1" x14ac:dyDescent="0.35">
      <c r="A4" s="138" t="s">
        <v>319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spans="1:12" x14ac:dyDescent="0.35">
      <c r="A5" s="8" t="s">
        <v>320</v>
      </c>
      <c r="B5" s="8" t="s">
        <v>321</v>
      </c>
      <c r="C5" s="8" t="s">
        <v>322</v>
      </c>
      <c r="D5" s="8" t="s">
        <v>323</v>
      </c>
      <c r="E5" s="8" t="s">
        <v>324</v>
      </c>
      <c r="F5" s="8" t="s">
        <v>325</v>
      </c>
      <c r="G5" s="8" t="s">
        <v>326</v>
      </c>
      <c r="H5" s="8" t="s">
        <v>327</v>
      </c>
      <c r="I5" s="8" t="s">
        <v>328</v>
      </c>
      <c r="J5" s="8" t="s">
        <v>329</v>
      </c>
      <c r="K5" s="8" t="s">
        <v>330</v>
      </c>
      <c r="L5" s="8" t="s">
        <v>331</v>
      </c>
    </row>
    <row r="6" spans="1:12" x14ac:dyDescent="0.35">
      <c r="A6" s="53" t="s">
        <v>332</v>
      </c>
      <c r="B6" s="48" t="s">
        <v>340</v>
      </c>
      <c r="C6" s="28">
        <v>230</v>
      </c>
      <c r="D6" s="28">
        <v>90</v>
      </c>
      <c r="E6" s="28">
        <v>320</v>
      </c>
      <c r="F6" s="28">
        <v>275</v>
      </c>
      <c r="G6" s="28">
        <v>35</v>
      </c>
      <c r="H6" s="39">
        <f>E6/G6</f>
        <v>9.1428571428571423</v>
      </c>
      <c r="I6" s="39">
        <f>E6/F6</f>
        <v>1.1636363636363636</v>
      </c>
      <c r="J6" s="115">
        <v>10.5</v>
      </c>
      <c r="K6" s="115">
        <v>1.6</v>
      </c>
      <c r="L6" s="116" t="s">
        <v>345</v>
      </c>
    </row>
    <row r="7" spans="1:12" x14ac:dyDescent="0.35">
      <c r="A7" s="53" t="s">
        <v>333</v>
      </c>
      <c r="B7" s="48" t="s">
        <v>341</v>
      </c>
      <c r="C7" s="28">
        <v>54</v>
      </c>
      <c r="D7" s="28">
        <v>31</v>
      </c>
      <c r="E7" s="28">
        <v>85</v>
      </c>
      <c r="F7" s="28">
        <v>153</v>
      </c>
      <c r="G7" s="28">
        <v>20</v>
      </c>
      <c r="H7" s="39">
        <f t="shared" ref="H7:H13" si="0">E7/G7</f>
        <v>4.25</v>
      </c>
      <c r="I7" s="39">
        <f t="shared" ref="I7:I13" si="1">E7/F7</f>
        <v>0.55555555555555558</v>
      </c>
      <c r="J7" s="115">
        <v>7.2</v>
      </c>
      <c r="K7" s="115">
        <v>0.9</v>
      </c>
      <c r="L7" s="116" t="s">
        <v>346</v>
      </c>
    </row>
    <row r="8" spans="1:12" x14ac:dyDescent="0.35">
      <c r="A8" s="53" t="s">
        <v>334</v>
      </c>
      <c r="B8" s="48" t="s">
        <v>341</v>
      </c>
      <c r="C8" s="28">
        <v>56</v>
      </c>
      <c r="D8" s="28">
        <v>26</v>
      </c>
      <c r="E8" s="28">
        <v>82</v>
      </c>
      <c r="F8" s="28">
        <v>142</v>
      </c>
      <c r="G8" s="28">
        <v>18</v>
      </c>
      <c r="H8" s="39">
        <f t="shared" si="0"/>
        <v>4.5555555555555554</v>
      </c>
      <c r="I8" s="39">
        <f t="shared" si="1"/>
        <v>0.57746478873239437</v>
      </c>
      <c r="J8" s="115">
        <v>8.1</v>
      </c>
      <c r="K8" s="115">
        <v>1</v>
      </c>
      <c r="L8" s="116" t="s">
        <v>347</v>
      </c>
    </row>
    <row r="9" spans="1:12" x14ac:dyDescent="0.35">
      <c r="A9" s="53" t="s">
        <v>335</v>
      </c>
      <c r="B9" s="48" t="s">
        <v>342</v>
      </c>
      <c r="C9" s="28">
        <v>38</v>
      </c>
      <c r="D9" s="28">
        <v>17</v>
      </c>
      <c r="E9" s="28">
        <v>55</v>
      </c>
      <c r="F9" s="28">
        <v>180</v>
      </c>
      <c r="G9" s="28">
        <v>22</v>
      </c>
      <c r="H9" s="39">
        <f t="shared" si="0"/>
        <v>2.5</v>
      </c>
      <c r="I9" s="39">
        <f t="shared" si="1"/>
        <v>0.30555555555555558</v>
      </c>
      <c r="J9" s="115">
        <v>5.2</v>
      </c>
      <c r="K9" s="115">
        <v>0.7</v>
      </c>
      <c r="L9" s="116" t="s">
        <v>348</v>
      </c>
    </row>
    <row r="10" spans="1:12" x14ac:dyDescent="0.35">
      <c r="A10" s="53" t="s">
        <v>336</v>
      </c>
      <c r="B10" s="48" t="s">
        <v>343</v>
      </c>
      <c r="C10" s="28">
        <v>45</v>
      </c>
      <c r="D10" s="28">
        <v>35</v>
      </c>
      <c r="E10" s="28">
        <v>80</v>
      </c>
      <c r="F10" s="28">
        <v>185</v>
      </c>
      <c r="G10" s="28">
        <v>16</v>
      </c>
      <c r="H10" s="39">
        <f t="shared" si="0"/>
        <v>5</v>
      </c>
      <c r="I10" s="39">
        <f t="shared" si="1"/>
        <v>0.43243243243243246</v>
      </c>
      <c r="J10" s="115">
        <v>8.5</v>
      </c>
      <c r="K10" s="115">
        <v>1.2</v>
      </c>
      <c r="L10" s="116" t="s">
        <v>349</v>
      </c>
    </row>
    <row r="11" spans="1:12" x14ac:dyDescent="0.35">
      <c r="A11" s="53" t="s">
        <v>337</v>
      </c>
      <c r="B11" s="48" t="s">
        <v>343</v>
      </c>
      <c r="C11" s="28">
        <v>43</v>
      </c>
      <c r="D11" s="28">
        <v>29</v>
      </c>
      <c r="E11" s="28">
        <v>72</v>
      </c>
      <c r="F11" s="28">
        <v>175</v>
      </c>
      <c r="G11" s="28">
        <v>18</v>
      </c>
      <c r="H11" s="39">
        <f t="shared" si="0"/>
        <v>4</v>
      </c>
      <c r="I11" s="39">
        <f t="shared" si="1"/>
        <v>0.41142857142857142</v>
      </c>
      <c r="J11" s="115">
        <v>5</v>
      </c>
      <c r="K11" s="115">
        <v>0.9</v>
      </c>
      <c r="L11" s="116" t="s">
        <v>350</v>
      </c>
    </row>
    <row r="12" spans="1:12" x14ac:dyDescent="0.35">
      <c r="A12" s="53" t="s">
        <v>338</v>
      </c>
      <c r="B12" s="48" t="s">
        <v>344</v>
      </c>
      <c r="C12" s="28">
        <v>9</v>
      </c>
      <c r="D12" s="28">
        <v>5</v>
      </c>
      <c r="E12" s="28">
        <v>14</v>
      </c>
      <c r="F12" s="28">
        <v>47</v>
      </c>
      <c r="G12" s="28">
        <v>5</v>
      </c>
      <c r="H12" s="39">
        <f t="shared" si="0"/>
        <v>2.8</v>
      </c>
      <c r="I12" s="39">
        <f t="shared" si="1"/>
        <v>0.2978723404255319</v>
      </c>
      <c r="J12" s="115">
        <v>4.0999999999999996</v>
      </c>
      <c r="K12" s="115">
        <v>0.5</v>
      </c>
      <c r="L12" s="116" t="s">
        <v>351</v>
      </c>
    </row>
    <row r="13" spans="1:12" x14ac:dyDescent="0.35">
      <c r="A13" s="53" t="s">
        <v>339</v>
      </c>
      <c r="B13" s="48" t="s">
        <v>340</v>
      </c>
      <c r="C13" s="28">
        <v>44</v>
      </c>
      <c r="D13" s="28">
        <v>14</v>
      </c>
      <c r="E13" s="28">
        <v>58</v>
      </c>
      <c r="F13" s="28">
        <v>132</v>
      </c>
      <c r="G13" s="28">
        <v>14</v>
      </c>
      <c r="H13" s="39">
        <f t="shared" si="0"/>
        <v>4.1428571428571432</v>
      </c>
      <c r="I13" s="39">
        <f t="shared" si="1"/>
        <v>0.43939393939393939</v>
      </c>
      <c r="J13" s="115">
        <v>7.8</v>
      </c>
      <c r="K13" s="115">
        <v>0.6</v>
      </c>
      <c r="L13" s="116" t="s">
        <v>352</v>
      </c>
    </row>
    <row r="15" spans="1:12" ht="11.5" customHeight="1" x14ac:dyDescent="0.35">
      <c r="A15" s="138" t="s">
        <v>353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</row>
    <row r="16" spans="1:12" x14ac:dyDescent="0.35">
      <c r="A16" s="8" t="s">
        <v>354</v>
      </c>
      <c r="B16" s="8"/>
      <c r="C16" s="8" t="s">
        <v>355</v>
      </c>
      <c r="D16" s="8" t="s">
        <v>356</v>
      </c>
      <c r="E16" s="8" t="s">
        <v>357</v>
      </c>
      <c r="F16" s="8" t="s">
        <v>113</v>
      </c>
      <c r="G16" s="8" t="s">
        <v>358</v>
      </c>
      <c r="H16" s="8" t="s">
        <v>327</v>
      </c>
      <c r="I16" s="8" t="s">
        <v>328</v>
      </c>
      <c r="J16" s="8" t="s">
        <v>359</v>
      </c>
      <c r="K16" s="8" t="s">
        <v>330</v>
      </c>
    </row>
    <row r="17" spans="1:12" x14ac:dyDescent="0.35">
      <c r="A17" s="53" t="s">
        <v>360</v>
      </c>
      <c r="C17" s="117">
        <f>MEDIAN(C6:C13)</f>
        <v>44.5</v>
      </c>
      <c r="D17" s="117">
        <f t="shared" ref="D17:K17" si="2">MEDIAN(D6:D13)</f>
        <v>27.5</v>
      </c>
      <c r="E17" s="117">
        <f t="shared" si="2"/>
        <v>76</v>
      </c>
      <c r="F17" s="117">
        <f t="shared" si="2"/>
        <v>164</v>
      </c>
      <c r="G17" s="117">
        <f t="shared" si="2"/>
        <v>18</v>
      </c>
      <c r="H17" s="118">
        <f t="shared" si="2"/>
        <v>4.1964285714285712</v>
      </c>
      <c r="I17" s="118">
        <f t="shared" si="2"/>
        <v>0.43591318591318595</v>
      </c>
      <c r="J17" s="118">
        <f t="shared" si="2"/>
        <v>7.5</v>
      </c>
      <c r="K17" s="118">
        <f t="shared" si="2"/>
        <v>0.9</v>
      </c>
    </row>
    <row r="18" spans="1:12" x14ac:dyDescent="0.35">
      <c r="A18" s="53" t="s">
        <v>361</v>
      </c>
      <c r="C18" s="117">
        <f>AVERAGE(C6:C13)</f>
        <v>64.875</v>
      </c>
      <c r="D18" s="117">
        <f t="shared" ref="D18:K18" si="3">AVERAGE(D6:D13)</f>
        <v>30.875</v>
      </c>
      <c r="E18" s="117">
        <f t="shared" si="3"/>
        <v>95.75</v>
      </c>
      <c r="F18" s="117">
        <f t="shared" si="3"/>
        <v>161.125</v>
      </c>
      <c r="G18" s="117">
        <f t="shared" si="3"/>
        <v>18.5</v>
      </c>
      <c r="H18" s="118">
        <f t="shared" si="3"/>
        <v>4.5489087301587299</v>
      </c>
      <c r="I18" s="118">
        <f t="shared" si="3"/>
        <v>0.52291744339504298</v>
      </c>
      <c r="J18" s="118">
        <f t="shared" si="3"/>
        <v>7.05</v>
      </c>
      <c r="K18" s="118">
        <f t="shared" si="3"/>
        <v>0.92500000000000004</v>
      </c>
    </row>
    <row r="19" spans="1:12" x14ac:dyDescent="0.35">
      <c r="A19" s="53" t="s">
        <v>362</v>
      </c>
      <c r="C19" s="117">
        <f>MIN(C6:C13)</f>
        <v>9</v>
      </c>
      <c r="D19" s="117">
        <f t="shared" ref="D19:K19" si="4">MIN(D6:D13)</f>
        <v>5</v>
      </c>
      <c r="E19" s="117">
        <f t="shared" si="4"/>
        <v>14</v>
      </c>
      <c r="F19" s="117">
        <f t="shared" si="4"/>
        <v>47</v>
      </c>
      <c r="G19" s="117">
        <f t="shared" si="4"/>
        <v>5</v>
      </c>
      <c r="H19" s="118">
        <f t="shared" si="4"/>
        <v>2.5</v>
      </c>
      <c r="I19" s="118">
        <f t="shared" si="4"/>
        <v>0.2978723404255319</v>
      </c>
      <c r="J19" s="118">
        <f t="shared" si="4"/>
        <v>4.0999999999999996</v>
      </c>
      <c r="K19" s="118">
        <f t="shared" si="4"/>
        <v>0.5</v>
      </c>
    </row>
    <row r="20" spans="1:12" x14ac:dyDescent="0.35">
      <c r="A20" s="53" t="s">
        <v>363</v>
      </c>
      <c r="C20" s="117">
        <f>MAX(C6:C13)</f>
        <v>230</v>
      </c>
      <c r="D20" s="117">
        <f t="shared" ref="D20:K20" si="5">MAX(D6:D13)</f>
        <v>90</v>
      </c>
      <c r="E20" s="117">
        <f t="shared" si="5"/>
        <v>320</v>
      </c>
      <c r="F20" s="117">
        <f t="shared" si="5"/>
        <v>275</v>
      </c>
      <c r="G20" s="117">
        <f t="shared" si="5"/>
        <v>35</v>
      </c>
      <c r="H20" s="118">
        <f t="shared" si="5"/>
        <v>9.1428571428571423</v>
      </c>
      <c r="I20" s="118">
        <f t="shared" si="5"/>
        <v>1.1636363636363636</v>
      </c>
      <c r="J20" s="118">
        <f t="shared" si="5"/>
        <v>10.5</v>
      </c>
      <c r="K20" s="118">
        <f t="shared" si="5"/>
        <v>1.6</v>
      </c>
    </row>
    <row r="22" spans="1:12" ht="11.5" customHeight="1" x14ac:dyDescent="0.35">
      <c r="A22" s="119" t="s">
        <v>364</v>
      </c>
      <c r="B22" s="8" t="s">
        <v>321</v>
      </c>
      <c r="C22" s="8" t="s">
        <v>322</v>
      </c>
      <c r="D22" s="8" t="s">
        <v>323</v>
      </c>
      <c r="E22" s="8" t="s">
        <v>324</v>
      </c>
      <c r="F22" s="8" t="s">
        <v>325</v>
      </c>
      <c r="G22" s="8" t="s">
        <v>326</v>
      </c>
      <c r="H22" s="8" t="s">
        <v>327</v>
      </c>
      <c r="I22" s="8" t="s">
        <v>328</v>
      </c>
      <c r="J22" s="8" t="s">
        <v>329</v>
      </c>
      <c r="K22" s="8" t="s">
        <v>330</v>
      </c>
      <c r="L22" s="119"/>
    </row>
    <row r="23" spans="1:12" x14ac:dyDescent="0.35">
      <c r="A23" s="120" t="s">
        <v>365</v>
      </c>
      <c r="B23" s="121" t="s">
        <v>341</v>
      </c>
      <c r="C23" s="121">
        <v>42</v>
      </c>
      <c r="D23" s="121">
        <v>32.9</v>
      </c>
      <c r="E23" s="121">
        <f>C23+D23</f>
        <v>74.900000000000006</v>
      </c>
      <c r="F23" s="121">
        <v>321.89999999999998</v>
      </c>
      <c r="G23" s="121">
        <v>46.3</v>
      </c>
      <c r="H23" s="128">
        <f>E23/G23</f>
        <v>1.617710583153348</v>
      </c>
      <c r="I23" s="128">
        <f>E23/F23</f>
        <v>0.2326809568188879</v>
      </c>
      <c r="J23" s="121">
        <v>6.3</v>
      </c>
      <c r="K23" s="121">
        <v>0.2</v>
      </c>
    </row>
    <row r="25" spans="1:12" ht="11.5" customHeight="1" x14ac:dyDescent="0.35">
      <c r="A25" s="138" t="s">
        <v>366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</row>
    <row r="26" spans="1:12" ht="29.5" customHeight="1" x14ac:dyDescent="0.35">
      <c r="A26" s="8" t="s">
        <v>367</v>
      </c>
      <c r="B26" s="122" t="s">
        <v>368</v>
      </c>
      <c r="C26" s="122" t="s">
        <v>369</v>
      </c>
      <c r="D26" s="122" t="s">
        <v>370</v>
      </c>
      <c r="E26" s="122" t="s">
        <v>371</v>
      </c>
      <c r="F26" s="122" t="s">
        <v>372</v>
      </c>
    </row>
    <row r="27" spans="1:12" x14ac:dyDescent="0.35">
      <c r="A27" s="125" t="s">
        <v>373</v>
      </c>
      <c r="B27" s="123">
        <f>H17</f>
        <v>4.1964285714285712</v>
      </c>
      <c r="C27" s="124">
        <f>G23</f>
        <v>46.3</v>
      </c>
      <c r="D27" s="87">
        <f>B27*C27</f>
        <v>194.29464285714283</v>
      </c>
      <c r="E27" s="87">
        <f>D27-D23+C23</f>
        <v>203.39464285714283</v>
      </c>
      <c r="F27" s="129">
        <f>E27*1000/501.3</f>
        <v>405.73437633581256</v>
      </c>
    </row>
    <row r="28" spans="1:12" x14ac:dyDescent="0.35">
      <c r="A28" s="125" t="s">
        <v>374</v>
      </c>
      <c r="B28" s="123">
        <f>I17</f>
        <v>0.43591318591318595</v>
      </c>
      <c r="C28" s="124">
        <f>F23</f>
        <v>321.89999999999998</v>
      </c>
      <c r="D28" s="87">
        <f>B28*C28</f>
        <v>140.32045454545454</v>
      </c>
      <c r="E28" s="87">
        <f>D28-D23+C23</f>
        <v>149.42045454545453</v>
      </c>
      <c r="F28" s="129">
        <f>E28*1000/501.3</f>
        <v>298.06593765301125</v>
      </c>
    </row>
    <row r="29" spans="1:12" x14ac:dyDescent="0.35">
      <c r="A29" s="125" t="s">
        <v>375</v>
      </c>
      <c r="B29" s="39">
        <f>J17</f>
        <v>7.5</v>
      </c>
      <c r="C29" s="48">
        <f>6.673</f>
        <v>6.673</v>
      </c>
      <c r="D29" s="87"/>
      <c r="E29" s="87">
        <f>B29*C29</f>
        <v>50.047499999999999</v>
      </c>
      <c r="F29" s="129">
        <f>E29*1000/501.3</f>
        <v>99.835427887492514</v>
      </c>
    </row>
    <row r="31" spans="1:12" ht="11.5" customHeight="1" x14ac:dyDescent="0.35">
      <c r="A31" s="138" t="s">
        <v>376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</row>
    <row r="32" spans="1:12" ht="24" x14ac:dyDescent="0.35">
      <c r="A32" s="8" t="s">
        <v>377</v>
      </c>
      <c r="B32" s="8" t="s">
        <v>372</v>
      </c>
      <c r="C32" s="122" t="s">
        <v>378</v>
      </c>
    </row>
    <row r="33" spans="1:3" x14ac:dyDescent="0.35">
      <c r="A33" s="125" t="s">
        <v>379</v>
      </c>
      <c r="B33" s="104">
        <f>'DCF Valuation'!B38</f>
        <v>546.55389730980642</v>
      </c>
      <c r="C33" s="104">
        <f>B33-86.4</f>
        <v>460.15389730980644</v>
      </c>
    </row>
    <row r="34" spans="1:3" x14ac:dyDescent="0.35">
      <c r="A34" s="125" t="s">
        <v>380</v>
      </c>
      <c r="B34" s="104">
        <f>F27</f>
        <v>405.73437633581256</v>
      </c>
      <c r="C34" s="104">
        <f>B34-86.4</f>
        <v>319.33437633581252</v>
      </c>
    </row>
    <row r="35" spans="1:3" x14ac:dyDescent="0.35">
      <c r="A35" s="125" t="s">
        <v>381</v>
      </c>
      <c r="B35" s="104">
        <f>F28</f>
        <v>298.06593765301125</v>
      </c>
      <c r="C35" s="104">
        <f>B35-86.4</f>
        <v>211.66593765301124</v>
      </c>
    </row>
    <row r="36" spans="1:3" x14ac:dyDescent="0.35">
      <c r="A36" s="125" t="s">
        <v>382</v>
      </c>
      <c r="B36" s="104">
        <f>F29</f>
        <v>99.835427887492514</v>
      </c>
      <c r="C36" s="104">
        <f>B36-86.4</f>
        <v>13.435427887492509</v>
      </c>
    </row>
    <row r="37" spans="1:3" x14ac:dyDescent="0.35">
      <c r="A37" s="126" t="s">
        <v>383</v>
      </c>
      <c r="B37" s="127">
        <f>AVERAGE(B33:B36)</f>
        <v>337.54740979653064</v>
      </c>
      <c r="C37" s="127">
        <f>B37-86.4</f>
        <v>251.14740979653064</v>
      </c>
    </row>
    <row r="38" spans="1:3" x14ac:dyDescent="0.35">
      <c r="A38" s="125"/>
    </row>
  </sheetData>
  <mergeCells count="6">
    <mergeCell ref="A31:L31"/>
    <mergeCell ref="A1:L1"/>
    <mergeCell ref="A2:L2"/>
    <mergeCell ref="A4:L4"/>
    <mergeCell ref="A15:L15"/>
    <mergeCell ref="A25:L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DBEA-0F4E-41E8-A41C-8B7DCFE52253}">
  <sheetPr>
    <tabColor rgb="FFFF0000"/>
  </sheetPr>
  <dimension ref="A1:K31"/>
  <sheetViews>
    <sheetView zoomScaleNormal="100" workbookViewId="0">
      <selection activeCell="O17" sqref="O17"/>
    </sheetView>
  </sheetViews>
  <sheetFormatPr defaultRowHeight="14.5" x14ac:dyDescent="0.35"/>
  <cols>
    <col min="1" max="1" width="16.54296875" customWidth="1"/>
    <col min="2" max="11" width="11.6328125" customWidth="1"/>
  </cols>
  <sheetData>
    <row r="1" spans="1:11" ht="24" customHeight="1" x14ac:dyDescent="0.35">
      <c r="A1" s="141" t="s">
        <v>303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1" ht="11.5" customHeight="1" x14ac:dyDescent="0.35">
      <c r="A2" s="142" t="s">
        <v>304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5" spans="1:11" ht="11.5" customHeight="1" x14ac:dyDescent="0.35">
      <c r="A5" s="138" t="s">
        <v>305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</row>
    <row r="6" spans="1:11" x14ac:dyDescent="0.35">
      <c r="A6" s="8" t="s">
        <v>306</v>
      </c>
      <c r="B6" s="109">
        <v>0.01</v>
      </c>
      <c r="C6" s="109">
        <v>1.4999999999999999E-2</v>
      </c>
      <c r="D6" s="109">
        <v>0.02</v>
      </c>
      <c r="E6" s="109">
        <v>2.5000000000000001E-2</v>
      </c>
      <c r="F6" s="109">
        <v>0.03</v>
      </c>
      <c r="G6" s="109">
        <v>3.5000000000000003E-2</v>
      </c>
    </row>
    <row r="7" spans="1:11" x14ac:dyDescent="0.35">
      <c r="A7" s="109">
        <v>0.04</v>
      </c>
      <c r="B7" s="110">
        <f>IFERROR(((('FCF Build'!$C$26/(1+$A7)^1)+('FCF Build'!$D$26/(1+$A7)^2)+('FCF Build'!$E$26/(1+$A7)^3)+('FCF Build'!$F$26/(1+$A7)^4)+('FCF Build'!$G$26/(1+$A7)^5))+('FCF Build'!$G$26*(1+B$6)/($A7-B$6)/(1+$A7)^5)-71500-22826-14777+38801+29522)/501.3,"N/A")</f>
        <v>642.51819030085073</v>
      </c>
      <c r="C7" s="110">
        <f>IFERROR(((('FCF Build'!$C$26/(1+$A7)^1)+('FCF Build'!$D$26/(1+$A7)^2)+('FCF Build'!$E$26/(1+$A7)^3)+('FCF Build'!$F$26/(1+$A7)^4)+('FCF Build'!$G$26/(1+$A7)^5))+('FCF Build'!$G$26*(1+C$6)/($A7-C$6)/(1+$A7)^5)-71500-22826-14777+38801+29522)/501.3,"N/A")</f>
        <v>777.41632494647843</v>
      </c>
      <c r="D7" s="110">
        <f>IFERROR(((('FCF Build'!$C$26/(1+$A7)^1)+('FCF Build'!$D$26/(1+$A7)^2)+('FCF Build'!$E$26/(1+$A7)^3)+('FCF Build'!$F$26/(1+$A7)^4)+('FCF Build'!$G$26/(1+$A7)^5))+('FCF Build'!$G$26*(1+D$6)/($A7-D$6)/(1+$A7)^5)-71500-22826-14777+38801+29522)/501.3,"N/A")</f>
        <v>979.76352691492036</v>
      </c>
      <c r="E7" s="110">
        <f>IFERROR(((('FCF Build'!$C$26/(1+$A7)^1)+('FCF Build'!$D$26/(1+$A7)^2)+('FCF Build'!$E$26/(1+$A7)^3)+('FCF Build'!$F$26/(1+$A7)^4)+('FCF Build'!$G$26/(1+$A7)^5))+('FCF Build'!$G$26*(1+E$6)/($A7-E$6)/(1+$A7)^5)-71500-22826-14777+38801+29522)/501.3,"N/A")</f>
        <v>1317.0088635289901</v>
      </c>
      <c r="F7" s="110">
        <f>IFERROR(((('FCF Build'!$C$26/(1+$A7)^1)+('FCF Build'!$D$26/(1+$A7)^2)+('FCF Build'!$E$26/(1+$A7)^3)+('FCF Build'!$F$26/(1+$A7)^4)+('FCF Build'!$G$26/(1+$A7)^5))+('FCF Build'!$G$26*(1+F$6)/($A7-F$6)/(1+$A7)^5)-71500-22826-14777+38801+29522)/501.3,"N/A")</f>
        <v>1991.4995367571296</v>
      </c>
      <c r="G7" s="110">
        <f>IFERROR(((('FCF Build'!$C$26/(1+$A7)^1)+('FCF Build'!$D$26/(1+$A7)^2)+('FCF Build'!$E$26/(1+$A7)^3)+('FCF Build'!$F$26/(1+$A7)^4)+('FCF Build'!$G$26/(1+$A7)^5))+('FCF Build'!$G$26*(1+G$6)/($A7-G$6)/(1+$A7)^5)-71500-22826-14777+38801+29522)/501.3,"N/A")</f>
        <v>4014.971556441551</v>
      </c>
    </row>
    <row r="8" spans="1:11" x14ac:dyDescent="0.35">
      <c r="A8" s="109">
        <v>4.4999999999999998E-2</v>
      </c>
      <c r="B8" s="110">
        <f>IFERROR(((('FCF Build'!$C$26/(1+$A8)^1)+('FCF Build'!$D$26/(1+$A8)^2)+('FCF Build'!$E$26/(1+$A8)^3)+('FCF Build'!$F$26/(1+$A8)^4)+('FCF Build'!$G$26/(1+$A8)^5))+('FCF Build'!$G$26*(1+B$6)/($A8-B$6)/(1+$A8)^5)-71500-22826-14777+38801+29522)/501.3,"N/A")</f>
        <v>534.49482175759442</v>
      </c>
      <c r="C8" s="110">
        <f>IFERROR(((('FCF Build'!$C$26/(1+$A8)^1)+('FCF Build'!$D$26/(1+$A8)^2)+('FCF Build'!$E$26/(1+$A8)^3)+('FCF Build'!$F$26/(1+$A8)^4)+('FCF Build'!$G$26/(1+$A8)^5))+('FCF Build'!$G$26*(1+C$6)/($A8-C$6)/(1+$A8)^5)-71500-22826-14777+38801+29522)/501.3,"N/A")</f>
        <v>629.0196950926105</v>
      </c>
      <c r="D8" s="110">
        <f>IFERROR(((('FCF Build'!$C$26/(1+$A8)^1)+('FCF Build'!$D$26/(1+$A8)^2)+('FCF Build'!$E$26/(1+$A8)^3)+('FCF Build'!$F$26/(1+$A8)^4)+('FCF Build'!$G$26/(1+$A8)^5))+('FCF Build'!$G$26*(1+D$6)/($A8-D$6)/(1+$A8)^5)-71500-22826-14777+38801+29522)/501.3,"N/A")</f>
        <v>761.35451776163347</v>
      </c>
      <c r="E8" s="110">
        <f>IFERROR(((('FCF Build'!$C$26/(1+$A8)^1)+('FCF Build'!$D$26/(1+$A8)^2)+('FCF Build'!$E$26/(1+$A8)^3)+('FCF Build'!$F$26/(1+$A8)^4)+('FCF Build'!$G$26/(1+$A8)^5))+('FCF Build'!$G$26*(1+E$6)/($A8-E$6)/(1+$A8)^5)-71500-22826-14777+38801+29522)/501.3,"N/A")</f>
        <v>959.85675176516759</v>
      </c>
      <c r="F8" s="110">
        <f>IFERROR(((('FCF Build'!$C$26/(1+$A8)^1)+('FCF Build'!$D$26/(1+$A8)^2)+('FCF Build'!$E$26/(1+$A8)^3)+('FCF Build'!$F$26/(1+$A8)^4)+('FCF Build'!$G$26/(1+$A8)^5))+('FCF Build'!$G$26*(1+F$6)/($A8-F$6)/(1+$A8)^5)-71500-22826-14777+38801+29522)/501.3,"N/A")</f>
        <v>1290.6938084377243</v>
      </c>
      <c r="G8" s="110">
        <f>IFERROR(((('FCF Build'!$C$26/(1+$A8)^1)+('FCF Build'!$D$26/(1+$A8)^2)+('FCF Build'!$E$26/(1+$A8)^3)+('FCF Build'!$F$26/(1+$A8)^4)+('FCF Build'!$G$26/(1+$A8)^5))+('FCF Build'!$G$26*(1+G$6)/($A8-G$6)/(1+$A8)^5)-71500-22826-14777+38801+29522)/501.3,"N/A")</f>
        <v>1952.3679217828389</v>
      </c>
    </row>
    <row r="9" spans="1:11" x14ac:dyDescent="0.35">
      <c r="A9" s="109">
        <v>0.05</v>
      </c>
      <c r="B9" s="110">
        <f>IFERROR(((('FCF Build'!$C$26/(1+$A9)^1)+('FCF Build'!$D$26/(1+$A9)^2)+('FCF Build'!$E$26/(1+$A9)^3)+('FCF Build'!$F$26/(1+$A9)^4)+('FCF Build'!$G$26/(1+$A9)^5))+('FCF Build'!$G$26*(1+B$6)/($A9-B$6)/(1+$A9)^5)-71500-22826-14777+38801+29522)/501.3,"N/A")</f>
        <v>453.54780908725974</v>
      </c>
      <c r="C9" s="110">
        <f>IFERROR(((('FCF Build'!$C$26/(1+$A9)^1)+('FCF Build'!$D$26/(1+$A9)^2)+('FCF Build'!$E$26/(1+$A9)^3)+('FCF Build'!$F$26/(1+$A9)^4)+('FCF Build'!$G$26/(1+$A9)^5))+('FCF Build'!$G$26*(1+C$6)/($A9-C$6)/(1+$A9)^5)-71500-22826-14777+38801+29522)/501.3,"N/A")</f>
        <v>523.10072356655314</v>
      </c>
      <c r="D9" s="110">
        <f>IFERROR(((('FCF Build'!$C$26/(1+$A9)^1)+('FCF Build'!$D$26/(1+$A9)^2)+('FCF Build'!$E$26/(1+$A9)^3)+('FCF Build'!$F$26/(1+$A9)^4)+('FCF Build'!$G$26/(1+$A9)^5))+('FCF Build'!$G$26*(1+D$6)/($A9-D$6)/(1+$A9)^5)-71500-22826-14777+38801+29522)/501.3,"N/A")</f>
        <v>615.83794287227772</v>
      </c>
      <c r="E9" s="110">
        <f>IFERROR(((('FCF Build'!$C$26/(1+$A9)^1)+('FCF Build'!$D$26/(1+$A9)^2)+('FCF Build'!$E$26/(1+$A9)^3)+('FCF Build'!$F$26/(1+$A9)^4)+('FCF Build'!$G$26/(1+$A9)^5))+('FCF Build'!$G$26*(1+E$6)/($A9-E$6)/(1+$A9)^5)-71500-22826-14777+38801+29522)/501.3,"N/A")</f>
        <v>745.67004990029216</v>
      </c>
      <c r="F9" s="110">
        <f>IFERROR(((('FCF Build'!$C$26/(1+$A9)^1)+('FCF Build'!$D$26/(1+$A9)^2)+('FCF Build'!$E$26/(1+$A9)^3)+('FCF Build'!$F$26/(1+$A9)^4)+('FCF Build'!$G$26/(1+$A9)^5))+('FCF Build'!$G$26*(1+F$6)/($A9-F$6)/(1+$A9)^5)-71500-22826-14777+38801+29522)/501.3,"N/A")</f>
        <v>940.41821044231347</v>
      </c>
      <c r="G9" s="110">
        <f>IFERROR(((('FCF Build'!$C$26/(1+$A9)^1)+('FCF Build'!$D$26/(1+$A9)^2)+('FCF Build'!$E$26/(1+$A9)^3)+('FCF Build'!$F$26/(1+$A9)^4)+('FCF Build'!$G$26/(1+$A9)^5))+('FCF Build'!$G$26*(1+G$6)/($A9-G$6)/(1+$A9)^5)-71500-22826-14777+38801+29522)/501.3,"N/A")</f>
        <v>1264.9984780123498</v>
      </c>
    </row>
    <row r="10" spans="1:11" x14ac:dyDescent="0.35">
      <c r="A10" s="109">
        <v>5.3199999999999997E-2</v>
      </c>
      <c r="B10" s="110">
        <f>IFERROR(((('FCF Build'!$C$26/(1+$A10)^1)+('FCF Build'!$D$26/(1+$A10)^2)+('FCF Build'!$E$26/(1+$A10)^3)+('FCF Build'!$F$26/(1+$A10)^4)+('FCF Build'!$G$26/(1+$A10)^5))+('FCF Build'!$G$26*(1+B$6)/($A10-B$6)/(1+$A10)^5)-71500-22826-14777+38801+29522)/501.3,"N/A")</f>
        <v>411.60884024643423</v>
      </c>
      <c r="C10" s="110">
        <f>IFERROR(((('FCF Build'!$C$26/(1+$A10)^1)+('FCF Build'!$D$26/(1+$A10)^2)+('FCF Build'!$E$26/(1+$A10)^3)+('FCF Build'!$F$26/(1+$A10)^4)+('FCF Build'!$G$26/(1+$A10)^5))+('FCF Build'!$G$26*(1+C$6)/($A10-C$6)/(1+$A10)^5)-71500-22826-14777+38801+29522)/501.3,"N/A")</f>
        <v>469.90098752048112</v>
      </c>
      <c r="D10" s="111">
        <f>IFERROR(((('FCF Build'!$C$26/(1+$A10)^1)+('FCF Build'!$D$26/(1+$A10)^2)+('FCF Build'!$E$26/(1+$A10)^3)+('FCF Build'!$F$26/(1+$A10)^4)+('FCF Build'!$G$26/(1+$A10)^5))+('FCF Build'!$G$26*(1+D$6)/($A10-D$6)/(1+$A10)^5)-71500-22826-14777+38801+29522)/501.3,"N/A")</f>
        <v>545.75101047948226</v>
      </c>
      <c r="E10" s="110">
        <f>IFERROR(((('FCF Build'!$C$26/(1+$A10)^1)+('FCF Build'!$D$26/(1+$A10)^2)+('FCF Build'!$E$26/(1+$A10)^3)+('FCF Build'!$F$26/(1+$A10)^4)+('FCF Build'!$G$26/(1+$A10)^5))+('FCF Build'!$G$26*(1+E$6)/($A10-E$6)/(1+$A10)^5)-71500-22826-14777+38801+29522)/501.3,"N/A")</f>
        <v>648.49820470054021</v>
      </c>
      <c r="F10" s="110">
        <f>IFERROR(((('FCF Build'!$C$26/(1+$A10)^1)+('FCF Build'!$D$26/(1+$A10)^2)+('FCF Build'!$E$26/(1+$A10)^3)+('FCF Build'!$F$26/(1+$A10)^4)+('FCF Build'!$G$26/(1+$A10)^5))+('FCF Build'!$G$26*(1+F$6)/($A10-F$6)/(1+$A10)^5)-71500-22826-14777+38801+29522)/501.3,"N/A")</f>
        <v>795.53298263757154</v>
      </c>
      <c r="G10" s="110">
        <f>IFERROR(((('FCF Build'!$C$26/(1+$A10)^1)+('FCF Build'!$D$26/(1+$A10)^2)+('FCF Build'!$E$26/(1+$A10)^3)+('FCF Build'!$F$26/(1+$A10)^4)+('FCF Build'!$G$26/(1+$A10)^5))+('FCF Build'!$G$26*(1+G$6)/($A10-G$6)/(1+$A10)^5)-71500-22826-14777+38801+29522)/501.3,"N/A")</f>
        <v>1023.3561001004443</v>
      </c>
    </row>
    <row r="11" spans="1:11" x14ac:dyDescent="0.35">
      <c r="A11" s="109">
        <v>0.06</v>
      </c>
      <c r="B11" s="110">
        <f>IFERROR(((('FCF Build'!$C$26/(1+$A11)^1)+('FCF Build'!$D$26/(1+$A11)^2)+('FCF Build'!$E$26/(1+$A11)^3)+('FCF Build'!$F$26/(1+$A11)^4)+('FCF Build'!$G$26/(1+$A11)^5))+('FCF Build'!$G$26*(1+B$6)/($A11-B$6)/(1+$A11)^5)-71500-22826-14777+38801+29522)/501.3,"N/A")</f>
        <v>340.38597650559984</v>
      </c>
      <c r="C11" s="110">
        <f>IFERROR(((('FCF Build'!$C$26/(1+$A11)^1)+('FCF Build'!$D$26/(1+$A11)^2)+('FCF Build'!$E$26/(1+$A11)^3)+('FCF Build'!$F$26/(1+$A11)^4)+('FCF Build'!$G$26/(1+$A11)^5))+('FCF Build'!$G$26*(1+C$6)/($A11-C$6)/(1+$A11)^5)-71500-22826-14777+38801+29522)/501.3,"N/A")</f>
        <v>382.05320226978864</v>
      </c>
      <c r="D11" s="110">
        <f>IFERROR(((('FCF Build'!$C$26/(1+$A11)^1)+('FCF Build'!$D$26/(1+$A11)^2)+('FCF Build'!$E$26/(1+$A11)^3)+('FCF Build'!$F$26/(1+$A11)^4)+('FCF Build'!$G$26/(1+$A11)^5))+('FCF Build'!$G$26*(1+D$6)/($A11-D$6)/(1+$A11)^5)-71500-22826-14777+38801+29522)/501.3,"N/A")</f>
        <v>434.1372344750248</v>
      </c>
      <c r="E11" s="110">
        <f>IFERROR(((('FCF Build'!$C$26/(1+$A11)^1)+('FCF Build'!$D$26/(1+$A11)^2)+('FCF Build'!$E$26/(1+$A11)^3)+('FCF Build'!$F$26/(1+$A11)^4)+('FCF Build'!$G$26/(1+$A11)^5))+('FCF Build'!$G$26*(1+E$6)/($A11-E$6)/(1+$A11)^5)-71500-22826-14777+38801+29522)/501.3,"N/A")</f>
        <v>501.1024187388997</v>
      </c>
      <c r="F11" s="110">
        <f>IFERROR(((('FCF Build'!$C$26/(1+$A11)^1)+('FCF Build'!$D$26/(1+$A11)^2)+('FCF Build'!$E$26/(1+$A11)^3)+('FCF Build'!$F$26/(1+$A11)^4)+('FCF Build'!$G$26/(1+$A11)^5))+('FCF Build'!$G$26*(1+F$6)/($A11-F$6)/(1+$A11)^5)-71500-22826-14777+38801+29522)/501.3,"N/A")</f>
        <v>590.38933109073287</v>
      </c>
      <c r="G11" s="110">
        <f>IFERROR(((('FCF Build'!$C$26/(1+$A11)^1)+('FCF Build'!$D$26/(1+$A11)^2)+('FCF Build'!$E$26/(1+$A11)^3)+('FCF Build'!$F$26/(1+$A11)^4)+('FCF Build'!$G$26/(1+$A11)^5))+('FCF Build'!$G$26*(1+G$6)/($A11-G$6)/(1+$A11)^5)-71500-22826-14777+38801+29522)/501.3,"N/A")</f>
        <v>715.39100838329955</v>
      </c>
    </row>
    <row r="12" spans="1:11" x14ac:dyDescent="0.35">
      <c r="A12" s="109">
        <v>7.0000000000000007E-2</v>
      </c>
      <c r="B12" s="110">
        <f>IFERROR(((('FCF Build'!$C$26/(1+$A12)^1)+('FCF Build'!$D$26/(1+$A12)^2)+('FCF Build'!$E$26/(1+$A12)^3)+('FCF Build'!$F$26/(1+$A12)^4)+('FCF Build'!$G$26/(1+$A12)^5))+('FCF Build'!$G$26*(1+B$6)/($A12-B$6)/(1+$A12)^5)-71500-22826-14777+38801+29522)/501.3,"N/A")</f>
        <v>265.119983006128</v>
      </c>
      <c r="C12" s="110">
        <f>IFERROR(((('FCF Build'!$C$26/(1+$A12)^1)+('FCF Build'!$D$26/(1+$A12)^2)+('FCF Build'!$E$26/(1+$A12)^3)+('FCF Build'!$F$26/(1+$A12)^4)+('FCF Build'!$G$26/(1+$A12)^5))+('FCF Build'!$G$26*(1+C$6)/($A12-C$6)/(1+$A12)^5)-71500-22826-14777+38801+29522)/501.3,"N/A")</f>
        <v>292.48221459172419</v>
      </c>
      <c r="D12" s="110">
        <f>IFERROR(((('FCF Build'!$C$26/(1+$A12)^1)+('FCF Build'!$D$26/(1+$A12)^2)+('FCF Build'!$E$26/(1+$A12)^3)+('FCF Build'!$F$26/(1+$A12)^4)+('FCF Build'!$G$26/(1+$A12)^5))+('FCF Build'!$G$26*(1+D$6)/($A12-D$6)/(1+$A12)^5)-71500-22826-14777+38801+29522)/501.3,"N/A")</f>
        <v>325.31689249443974</v>
      </c>
      <c r="E12" s="110">
        <f>IFERROR(((('FCF Build'!$C$26/(1+$A12)^1)+('FCF Build'!$D$26/(1+$A12)^2)+('FCF Build'!$E$26/(1+$A12)^3)+('FCF Build'!$F$26/(1+$A12)^4)+('FCF Build'!$G$26/(1+$A12)^5))+('FCF Build'!$G$26*(1+E$6)/($A12-E$6)/(1+$A12)^5)-71500-22826-14777+38801+29522)/501.3,"N/A")</f>
        <v>365.44816548664755</v>
      </c>
      <c r="F12" s="110">
        <f>IFERROR(((('FCF Build'!$C$26/(1+$A12)^1)+('FCF Build'!$D$26/(1+$A12)^2)+('FCF Build'!$E$26/(1+$A12)^3)+('FCF Build'!$F$26/(1+$A12)^4)+('FCF Build'!$G$26/(1+$A12)^5))+('FCF Build'!$G$26*(1+F$6)/($A12-F$6)/(1+$A12)^5)-71500-22826-14777+38801+29522)/501.3,"N/A")</f>
        <v>415.61225672690733</v>
      </c>
      <c r="G12" s="110">
        <f>IFERROR(((('FCF Build'!$C$26/(1+$A12)^1)+('FCF Build'!$D$26/(1+$A12)^2)+('FCF Build'!$E$26/(1+$A12)^3)+('FCF Build'!$F$26/(1+$A12)^4)+('FCF Build'!$G$26/(1+$A12)^5))+('FCF Build'!$G$26*(1+G$6)/($A12-G$6)/(1+$A12)^5)-71500-22826-14777+38801+29522)/501.3,"N/A")</f>
        <v>480.10894546438425</v>
      </c>
    </row>
    <row r="13" spans="1:11" x14ac:dyDescent="0.35">
      <c r="A13" s="109">
        <v>0.08</v>
      </c>
      <c r="B13" s="110">
        <f>IFERROR(((('FCF Build'!$C$26/(1+$A13)^1)+('FCF Build'!$D$26/(1+$A13)^2)+('FCF Build'!$E$26/(1+$A13)^3)+('FCF Build'!$F$26/(1+$A13)^4)+('FCF Build'!$G$26/(1+$A13)^5))+('FCF Build'!$G$26*(1+B$6)/($A13-B$6)/(1+$A13)^5)-71500-22826-14777+38801+29522)/501.3,"N/A")</f>
        <v>211.50193127602162</v>
      </c>
      <c r="C13" s="110">
        <f>IFERROR(((('FCF Build'!$C$26/(1+$A13)^1)+('FCF Build'!$D$26/(1+$A13)^2)+('FCF Build'!$E$26/(1+$A13)^3)+('FCF Build'!$F$26/(1+$A13)^4)+('FCF Build'!$G$26/(1+$A13)^5))+('FCF Build'!$G$26*(1+C$6)/($A13-C$6)/(1+$A13)^5)-71500-22826-14777+38801+29522)/501.3,"N/A")</f>
        <v>230.62220680612256</v>
      </c>
      <c r="D13" s="110">
        <f>IFERROR(((('FCF Build'!$C$26/(1+$A13)^1)+('FCF Build'!$D$26/(1+$A13)^2)+('FCF Build'!$E$26/(1+$A13)^3)+('FCF Build'!$F$26/(1+$A13)^4)+('FCF Build'!$G$26/(1+$A13)^5))+('FCF Build'!$G$26*(1+D$6)/($A13-D$6)/(1+$A13)^5)-71500-22826-14777+38801+29522)/501.3,"N/A")</f>
        <v>252.92919492457372</v>
      </c>
      <c r="E13" s="110">
        <f>IFERROR(((('FCF Build'!$C$26/(1+$A13)^1)+('FCF Build'!$D$26/(1+$A13)^2)+('FCF Build'!$E$26/(1+$A13)^3)+('FCF Build'!$F$26/(1+$A13)^4)+('FCF Build'!$G$26/(1+$A13)^5))+('FCF Build'!$G$26*(1+E$6)/($A13-E$6)/(1+$A13)^5)-71500-22826-14777+38801+29522)/501.3,"N/A")</f>
        <v>279.29199906456142</v>
      </c>
      <c r="F13" s="110">
        <f>IFERROR(((('FCF Build'!$C$26/(1+$A13)^1)+('FCF Build'!$D$26/(1+$A13)^2)+('FCF Build'!$E$26/(1+$A13)^3)+('FCF Build'!$F$26/(1+$A13)^4)+('FCF Build'!$G$26/(1+$A13)^5))+('FCF Build'!$G$26*(1+F$6)/($A13-F$6)/(1+$A13)^5)-71500-22826-14777+38801+29522)/501.3,"N/A")</f>
        <v>310.92736403254668</v>
      </c>
      <c r="G13" s="110">
        <f>IFERROR(((('FCF Build'!$C$26/(1+$A13)^1)+('FCF Build'!$D$26/(1+$A13)^2)+('FCF Build'!$E$26/(1+$A13)^3)+('FCF Build'!$F$26/(1+$A13)^4)+('FCF Build'!$G$26/(1+$A13)^5))+('FCF Build'!$G$26*(1+G$6)/($A13-G$6)/(1+$A13)^5)-71500-22826-14777+38801+29522)/501.3,"N/A")</f>
        <v>349.59281010452861</v>
      </c>
    </row>
    <row r="14" spans="1:11" x14ac:dyDescent="0.35">
      <c r="A14" s="109">
        <v>0.09</v>
      </c>
      <c r="B14" s="110">
        <f>IFERROR(((('FCF Build'!$C$26/(1+$A14)^1)+('FCF Build'!$D$26/(1+$A14)^2)+('FCF Build'!$E$26/(1+$A14)^3)+('FCF Build'!$F$26/(1+$A14)^4)+('FCF Build'!$G$26/(1+$A14)^5))+('FCF Build'!$G$26*(1+B$6)/($A14-B$6)/(1+$A14)^5)-71500-22826-14777+38801+29522)/501.3,"N/A")</f>
        <v>171.40820513298385</v>
      </c>
      <c r="C14" s="110">
        <f>IFERROR(((('FCF Build'!$C$26/(1+$A14)^1)+('FCF Build'!$D$26/(1+$A14)^2)+('FCF Build'!$E$26/(1+$A14)^3)+('FCF Build'!$F$26/(1+$A14)^4)+('FCF Build'!$G$26/(1+$A14)^5))+('FCF Build'!$G$26*(1+C$6)/($A14-C$6)/(1+$A14)^5)-71500-22826-14777+38801+29522)/501.3,"N/A")</f>
        <v>185.38293181768648</v>
      </c>
      <c r="D14" s="110">
        <f>IFERROR(((('FCF Build'!$C$26/(1+$A14)^1)+('FCF Build'!$D$26/(1+$A14)^2)+('FCF Build'!$E$26/(1+$A14)^3)+('FCF Build'!$F$26/(1+$A14)^4)+('FCF Build'!$G$26/(1+$A14)^5))+('FCF Build'!$G$26*(1+D$6)/($A14-D$6)/(1+$A14)^5)-71500-22826-14777+38801+29522)/501.3,"N/A")</f>
        <v>201.35404802877528</v>
      </c>
      <c r="E14" s="110">
        <f>IFERROR(((('FCF Build'!$C$26/(1+$A14)^1)+('FCF Build'!$D$26/(1+$A14)^2)+('FCF Build'!$E$26/(1+$A14)^3)+('FCF Build'!$F$26/(1+$A14)^4)+('FCF Build'!$G$26/(1+$A14)^5))+('FCF Build'!$G$26*(1+E$6)/($A14-E$6)/(1+$A14)^5)-71500-22826-14777+38801+29522)/501.3,"N/A")</f>
        <v>219.78225904156994</v>
      </c>
      <c r="F14" s="110">
        <f>IFERROR(((('FCF Build'!$C$26/(1+$A14)^1)+('FCF Build'!$D$26/(1+$A14)^2)+('FCF Build'!$E$26/(1+$A14)^3)+('FCF Build'!$F$26/(1+$A14)^4)+('FCF Build'!$G$26/(1+$A14)^5))+('FCF Build'!$G$26*(1+F$6)/($A14-F$6)/(1+$A14)^5)-71500-22826-14777+38801+29522)/501.3,"N/A")</f>
        <v>241.28183855649715</v>
      </c>
      <c r="G14" s="110">
        <f>IFERROR(((('FCF Build'!$C$26/(1+$A14)^1)+('FCF Build'!$D$26/(1+$A14)^2)+('FCF Build'!$E$26/(1+$A14)^3)+('FCF Build'!$F$26/(1+$A14)^4)+('FCF Build'!$G$26/(1+$A14)^5))+('FCF Build'!$G$26*(1+G$6)/($A14-G$6)/(1+$A14)^5)-71500-22826-14777+38801+29522)/501.3,"N/A")</f>
        <v>266.6904325286838</v>
      </c>
    </row>
    <row r="16" spans="1:11" x14ac:dyDescent="0.35">
      <c r="A16" s="3" t="s">
        <v>307</v>
      </c>
      <c r="B16" s="41">
        <v>86.4</v>
      </c>
      <c r="C16" s="167" t="s">
        <v>308</v>
      </c>
      <c r="D16" s="167"/>
      <c r="E16" s="167"/>
      <c r="F16" s="167"/>
      <c r="G16" s="167"/>
    </row>
    <row r="18" spans="1:11" ht="11.5" customHeight="1" x14ac:dyDescent="0.35">
      <c r="A18" s="138" t="s">
        <v>309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</row>
    <row r="19" spans="1:11" x14ac:dyDescent="0.35">
      <c r="A19" s="8" t="s">
        <v>310</v>
      </c>
      <c r="B19" s="109">
        <v>0</v>
      </c>
      <c r="C19" s="109">
        <v>1.4999999999999999E-2</v>
      </c>
      <c r="D19" s="109">
        <v>2.5000000000000001E-2</v>
      </c>
      <c r="E19" s="109">
        <v>3.5000000000000003E-2</v>
      </c>
      <c r="F19" s="109">
        <v>0.05</v>
      </c>
    </row>
    <row r="20" spans="1:11" x14ac:dyDescent="0.35">
      <c r="A20" s="113">
        <v>0.03</v>
      </c>
      <c r="B20" s="110">
        <f>IFERROR((321913*($A20*0.72+0.064-0.076)*((1+B$19)/(1+WACC!$B$29)+(1+B$19)^2/(1+WACC!$B$29)^2+(1+B$19)^3/(1+WACC!$B$29)^3+(1+B$19)^4/(1+WACC!$B$29)^4+(1+B$19)^5/(1+WACC!$B$29)^5)+321913*(1+B$19)^5*($A20*0.72+0.064-0.076)*1.02/(WACC!$B$29-0.02)/(1+WACC!$B$29)^5-71500-22826-14777+38801+29522)/501.3,"N/A")</f>
        <v>91.473818708247506</v>
      </c>
      <c r="C20" s="110">
        <f>IFERROR((321913*($A20*0.72+0.064-0.076)*((1+C$19)/(1+WACC!$B$29)+(1+C$19)^2/(1+WACC!$B$29)^2+(1+C$19)^3/(1+WACC!$B$29)^3+(1+C$19)^4/(1+WACC!$B$29)^4+(1+C$19)^5/(1+WACC!$B$29)^5)+321913*(1+C$19)^5*($A20*0.72+0.064-0.076)*1.02/(WACC!$B$29-0.02)/(1+WACC!$B$29)^5-71500-22826-14777+38801+29522)/501.3,"N/A")</f>
        <v>103.95750189601053</v>
      </c>
      <c r="D20" s="110">
        <f>IFERROR((321913*($A20*0.72+0.064-0.076)*((1+D$19)/(1+WACC!$B$29)+(1+D$19)^2/(1+WACC!$B$29)^2+(1+D$19)^3/(1+WACC!$B$29)^3+(1+D$19)^4/(1+WACC!$B$29)^4+(1+D$19)^5/(1+WACC!$B$29)^5)+321913*(1+D$19)^5*($A20*0.72+0.064-0.076)*1.02/(WACC!$B$29-0.02)/(1+WACC!$B$29)^5-71500-22826-14777+38801+29522)/501.3,"N/A")</f>
        <v>112.68622652835275</v>
      </c>
      <c r="E20" s="110">
        <f>IFERROR((321913*($A20*0.72+0.064-0.076)*((1+E$19)/(1+WACC!$B$29)+(1+E$19)^2/(1+WACC!$B$29)^2+(1+E$19)^3/(1+WACC!$B$29)^3+(1+E$19)^4/(1+WACC!$B$29)^4+(1+E$19)^5/(1+WACC!$B$29)^5)+321913*(1+E$19)^5*($A20*0.72+0.064-0.076)*1.02/(WACC!$B$29-0.02)/(1+WACC!$B$29)^5-71500-22826-14777+38801+29522)/501.3,"N/A")</f>
        <v>121.75112569788857</v>
      </c>
      <c r="F20" s="110">
        <f>IFERROR((321913*($A20*0.72+0.064-0.076)*((1+F$19)/(1+WACC!$B$29)+(1+F$19)^2/(1+WACC!$B$29)^2+(1+F$19)^3/(1+WACC!$B$29)^3+(1+F$19)^4/(1+WACC!$B$29)^4+(1+F$19)^5/(1+WACC!$B$29)^5)+321913*(1+F$19)^5*($A20*0.72+0.064-0.076)*1.02/(WACC!$B$29-0.02)/(1+WACC!$B$29)^5-71500-22826-14777+38801+29522)/501.3,"N/A")</f>
        <v>136.00023676049665</v>
      </c>
    </row>
    <row r="21" spans="1:11" x14ac:dyDescent="0.35">
      <c r="A21" s="113">
        <v>0.04</v>
      </c>
      <c r="B21" s="110">
        <f>IFERROR((321913*($A21*0.72+0.064-0.076)*((1+B$19)/(1+WACC!$B$29)+(1+B$19)^2/(1+WACC!$B$29)^2+(1+B$19)^3/(1+WACC!$B$29)^3+(1+B$19)^4/(1+WACC!$B$29)^4+(1+B$19)^5/(1+WACC!$B$29)^5)+321913*(1+B$19)^5*($A21*0.72+0.064-0.076)*1.02/(WACC!$B$29-0.02)/(1+WACC!$B$29)^5-71500-22826-14777+38801+29522)/501.3,"N/A")</f>
        <v>221.09055317629728</v>
      </c>
      <c r="C21" s="110">
        <f>IFERROR((321913*($A21*0.72+0.064-0.076)*((1+C$19)/(1+WACC!$B$29)+(1+C$19)^2/(1+WACC!$B$29)^2+(1+C$19)^3/(1+WACC!$B$29)^3+(1+C$19)^4/(1+WACC!$B$29)^4+(1+C$19)^5/(1+WACC!$B$29)^5)+321913*(1+C$19)^5*($A21*0.72+0.064-0.076)*1.02/(WACC!$B$29-0.02)/(1+WACC!$B$29)^5-71500-22826-14777+38801+29522)/501.3,"N/A")</f>
        <v>242.93699875488264</v>
      </c>
      <c r="D21" s="110">
        <f>IFERROR((321913*($A21*0.72+0.064-0.076)*((1+D$19)/(1+WACC!$B$29)+(1+D$19)^2/(1+WACC!$B$29)^2+(1+D$19)^3/(1+WACC!$B$29)^3+(1+D$19)^4/(1+WACC!$B$29)^4+(1+D$19)^5/(1+WACC!$B$29)^5)+321913*(1+D$19)^5*($A21*0.72+0.064-0.076)*1.02/(WACC!$B$29-0.02)/(1+WACC!$B$29)^5-71500-22826-14777+38801+29522)/501.3,"N/A")</f>
        <v>258.21226686148151</v>
      </c>
      <c r="E21" s="110">
        <f>IFERROR((321913*($A21*0.72+0.064-0.076)*((1+E$19)/(1+WACC!$B$29)+(1+E$19)^2/(1+WACC!$B$29)^2+(1+E$19)^3/(1+WACC!$B$29)^3+(1+E$19)^4/(1+WACC!$B$29)^4+(1+E$19)^5/(1+WACC!$B$29)^5)+321913*(1+E$19)^5*($A21*0.72+0.064-0.076)*1.02/(WACC!$B$29-0.02)/(1+WACC!$B$29)^5-71500-22826-14777+38801+29522)/501.3,"N/A")</f>
        <v>274.0758404081692</v>
      </c>
      <c r="F21" s="110">
        <f>IFERROR((321913*($A21*0.72+0.064-0.076)*((1+F$19)/(1+WACC!$B$29)+(1+F$19)^2/(1+WACC!$B$29)^2+(1+F$19)^3/(1+WACC!$B$29)^3+(1+F$19)^4/(1+WACC!$B$29)^4+(1+F$19)^5/(1+WACC!$B$29)^5)+321913*(1+F$19)^5*($A21*0.72+0.064-0.076)*1.02/(WACC!$B$29-0.02)/(1+WACC!$B$29)^5-71500-22826-14777+38801+29522)/501.3,"N/A")</f>
        <v>299.01178476773327</v>
      </c>
    </row>
    <row r="22" spans="1:11" x14ac:dyDescent="0.35">
      <c r="A22" s="113">
        <v>0.05</v>
      </c>
      <c r="B22" s="110">
        <f>IFERROR((321913*($A22*0.72+0.064-0.076)*((1+B$19)/(1+WACC!$B$29)+(1+B$19)^2/(1+WACC!$B$29)^2+(1+B$19)^3/(1+WACC!$B$29)^3+(1+B$19)^4/(1+WACC!$B$29)^4+(1+B$19)^5/(1+WACC!$B$29)^5)+321913*(1+B$19)^5*($A22*0.72+0.064-0.076)*1.02/(WACC!$B$29-0.02)/(1+WACC!$B$29)^5-71500-22826-14777+38801+29522)/501.3,"N/A")</f>
        <v>350.70728764434728</v>
      </c>
      <c r="C22" s="110">
        <f>IFERROR((321913*($A22*0.72+0.064-0.076)*((1+C$19)/(1+WACC!$B$29)+(1+C$19)^2/(1+WACC!$B$29)^2+(1+C$19)^3/(1+WACC!$B$29)^3+(1+C$19)^4/(1+WACC!$B$29)^4+(1+C$19)^5/(1+WACC!$B$29)^5)+321913*(1+C$19)^5*($A22*0.72+0.064-0.076)*1.02/(WACC!$B$29-0.02)/(1+WACC!$B$29)^5-71500-22826-14777+38801+29522)/501.3,"N/A")</f>
        <v>381.91649561375493</v>
      </c>
      <c r="D22" s="114">
        <f>IFERROR((321913*($A22*0.72+0.064-0.076)*((1+D$19)/(1+WACC!$B$29)+(1+D$19)^2/(1+WACC!$B$29)^2+(1+D$19)^3/(1+WACC!$B$29)^3+(1+D$19)^4/(1+WACC!$B$29)^4+(1+D$19)^5/(1+WACC!$B$29)^5)+321913*(1+D$19)^5*($A22*0.72+0.064-0.076)*1.02/(WACC!$B$29-0.02)/(1+WACC!$B$29)^5-71500-22826-14777+38801+29522)/501.3,"N/A")</f>
        <v>403.73830719461046</v>
      </c>
      <c r="E22" s="110">
        <f>IFERROR((321913*($A22*0.72+0.064-0.076)*((1+E$19)/(1+WACC!$B$29)+(1+E$19)^2/(1+WACC!$B$29)^2+(1+E$19)^3/(1+WACC!$B$29)^3+(1+E$19)^4/(1+WACC!$B$29)^4+(1+E$19)^5/(1+WACC!$B$29)^5)+321913*(1+E$19)^5*($A22*0.72+0.064-0.076)*1.02/(WACC!$B$29-0.02)/(1+WACC!$B$29)^5-71500-22826-14777+38801+29522)/501.3,"N/A")</f>
        <v>426.40055511845009</v>
      </c>
      <c r="F22" s="110">
        <f>IFERROR((321913*($A22*0.72+0.064-0.076)*((1+F$19)/(1+WACC!$B$29)+(1+F$19)^2/(1+WACC!$B$29)^2+(1+F$19)^3/(1+WACC!$B$29)^3+(1+F$19)^4/(1+WACC!$B$29)^4+(1+F$19)^5/(1+WACC!$B$29)^5)+321913*(1+F$19)^5*($A22*0.72+0.064-0.076)*1.02/(WACC!$B$29-0.02)/(1+WACC!$B$29)^5-71500-22826-14777+38801+29522)/501.3,"N/A")</f>
        <v>462.02333277497013</v>
      </c>
    </row>
    <row r="23" spans="1:11" x14ac:dyDescent="0.35">
      <c r="A23" s="113">
        <v>0.06</v>
      </c>
      <c r="B23" s="110">
        <f>IFERROR((321913*($A23*0.72+0.064-0.076)*((1+B$19)/(1+WACC!$B$29)+(1+B$19)^2/(1+WACC!$B$29)^2+(1+B$19)^3/(1+WACC!$B$29)^3+(1+B$19)^4/(1+WACC!$B$29)^4+(1+B$19)^5/(1+WACC!$B$29)^5)+321913*(1+B$19)^5*($A23*0.72+0.064-0.076)*1.02/(WACC!$B$29-0.02)/(1+WACC!$B$29)^5-71500-22826-14777+38801+29522)/501.3,"N/A")</f>
        <v>480.3240221123969</v>
      </c>
      <c r="C23" s="110">
        <f>IFERROR((321913*($A23*0.72+0.064-0.076)*((1+C$19)/(1+WACC!$B$29)+(1+C$19)^2/(1+WACC!$B$29)^2+(1+C$19)^3/(1+WACC!$B$29)^3+(1+C$19)^4/(1+WACC!$B$29)^4+(1+C$19)^5/(1+WACC!$B$29)^5)+321913*(1+C$19)^5*($A23*0.72+0.064-0.076)*1.02/(WACC!$B$29-0.02)/(1+WACC!$B$29)^5-71500-22826-14777+38801+29522)/501.3,"N/A")</f>
        <v>520.89599247262663</v>
      </c>
      <c r="D23" s="110">
        <f>IFERROR((321913*($A23*0.72+0.064-0.076)*((1+D$19)/(1+WACC!$B$29)+(1+D$19)^2/(1+WACC!$B$29)^2+(1+D$19)^3/(1+WACC!$B$29)^3+(1+D$19)^4/(1+WACC!$B$29)^4+(1+D$19)^5/(1+WACC!$B$29)^5)+321913*(1+D$19)^5*($A23*0.72+0.064-0.076)*1.02/(WACC!$B$29-0.02)/(1+WACC!$B$29)^5-71500-22826-14777+38801+29522)/501.3,"N/A")</f>
        <v>549.26434752773878</v>
      </c>
      <c r="E23" s="110">
        <f>IFERROR((321913*($A23*0.72+0.064-0.076)*((1+E$19)/(1+WACC!$B$29)+(1+E$19)^2/(1+WACC!$B$29)^2+(1+E$19)^3/(1+WACC!$B$29)^3+(1+E$19)^4/(1+WACC!$B$29)^4+(1+E$19)^5/(1+WACC!$B$29)^5)+321913*(1+E$19)^5*($A23*0.72+0.064-0.076)*1.02/(WACC!$B$29-0.02)/(1+WACC!$B$29)^5-71500-22826-14777+38801+29522)/501.3,"N/A")</f>
        <v>578.72526982873046</v>
      </c>
      <c r="F23" s="110">
        <f>IFERROR((321913*($A23*0.72+0.064-0.076)*((1+F$19)/(1+WACC!$B$29)+(1+F$19)^2/(1+WACC!$B$29)^2+(1+F$19)^3/(1+WACC!$B$29)^3+(1+F$19)^4/(1+WACC!$B$29)^4+(1+F$19)^5/(1+WACC!$B$29)^5)+321913*(1+F$19)^5*($A23*0.72+0.064-0.076)*1.02/(WACC!$B$29-0.02)/(1+WACC!$B$29)^5-71500-22826-14777+38801+29522)/501.3,"N/A")</f>
        <v>625.03488078220653</v>
      </c>
    </row>
    <row r="24" spans="1:11" x14ac:dyDescent="0.35">
      <c r="A24" s="113">
        <v>7.0000000000000007E-2</v>
      </c>
      <c r="B24" s="110">
        <f>IFERROR((321913*($A24*0.72+0.064-0.076)*((1+B$19)/(1+WACC!$B$29)+(1+B$19)^2/(1+WACC!$B$29)^2+(1+B$19)^3/(1+WACC!$B$29)^3+(1+B$19)^4/(1+WACC!$B$29)^4+(1+B$19)^5/(1+WACC!$B$29)^5)+321913*(1+B$19)^5*($A24*0.72+0.064-0.076)*1.02/(WACC!$B$29-0.02)/(1+WACC!$B$29)^5-71500-22826-14777+38801+29522)/501.3,"N/A")</f>
        <v>609.94075658044676</v>
      </c>
      <c r="C24" s="110">
        <f>IFERROR((321913*($A24*0.72+0.064-0.076)*((1+C$19)/(1+WACC!$B$29)+(1+C$19)^2/(1+WACC!$B$29)^2+(1+C$19)^3/(1+WACC!$B$29)^3+(1+C$19)^4/(1+WACC!$B$29)^4+(1+C$19)^5/(1+WACC!$B$29)^5)+321913*(1+C$19)^5*($A24*0.72+0.064-0.076)*1.02/(WACC!$B$29-0.02)/(1+WACC!$B$29)^5-71500-22826-14777+38801+29522)/501.3,"N/A")</f>
        <v>659.87548933149901</v>
      </c>
      <c r="D24" s="110">
        <f>IFERROR((321913*($A24*0.72+0.064-0.076)*((1+D$19)/(1+WACC!$B$29)+(1+D$19)^2/(1+WACC!$B$29)^2+(1+D$19)^3/(1+WACC!$B$29)^3+(1+D$19)^4/(1+WACC!$B$29)^4+(1+D$19)^5/(1+WACC!$B$29)^5)+321913*(1+D$19)^5*($A24*0.72+0.064-0.076)*1.02/(WACC!$B$29-0.02)/(1+WACC!$B$29)^5-71500-22826-14777+38801+29522)/501.3,"N/A")</f>
        <v>694.79038786086778</v>
      </c>
      <c r="E24" s="110">
        <f>IFERROR((321913*($A24*0.72+0.064-0.076)*((1+E$19)/(1+WACC!$B$29)+(1+E$19)^2/(1+WACC!$B$29)^2+(1+E$19)^3/(1+WACC!$B$29)^3+(1+E$19)^4/(1+WACC!$B$29)^4+(1+E$19)^5/(1+WACC!$B$29)^5)+321913*(1+E$19)^5*($A24*0.72+0.064-0.076)*1.02/(WACC!$B$29-0.02)/(1+WACC!$B$29)^5-71500-22826-14777+38801+29522)/501.3,"N/A")</f>
        <v>731.04998453901135</v>
      </c>
      <c r="F24" s="110">
        <f>IFERROR((321913*($A24*0.72+0.064-0.076)*((1+F$19)/(1+WACC!$B$29)+(1+F$19)^2/(1+WACC!$B$29)^2+(1+F$19)^3/(1+WACC!$B$29)^3+(1+F$19)^4/(1+WACC!$B$29)^4+(1+F$19)^5/(1+WACC!$B$29)^5)+321913*(1+F$19)^5*($A24*0.72+0.064-0.076)*1.02/(WACC!$B$29-0.02)/(1+WACC!$B$29)^5-71500-22826-14777+38801+29522)/501.3,"N/A")</f>
        <v>788.04642878944355</v>
      </c>
    </row>
    <row r="26" spans="1:11" x14ac:dyDescent="0.35">
      <c r="A26" s="166" t="s">
        <v>311</v>
      </c>
      <c r="B26" s="166"/>
      <c r="C26" s="166"/>
      <c r="D26" s="166"/>
      <c r="E26" s="166"/>
      <c r="F26" s="166"/>
      <c r="G26" s="166"/>
      <c r="H26" s="166"/>
    </row>
    <row r="27" spans="1:11" x14ac:dyDescent="0.35">
      <c r="A27" s="165" t="s">
        <v>312</v>
      </c>
      <c r="B27" s="165"/>
      <c r="C27" s="165"/>
      <c r="D27" s="165"/>
      <c r="E27" s="165"/>
    </row>
    <row r="28" spans="1:11" x14ac:dyDescent="0.35">
      <c r="A28" s="165" t="s">
        <v>313</v>
      </c>
      <c r="B28" s="165"/>
      <c r="C28" s="165"/>
      <c r="D28" s="165"/>
      <c r="E28" s="165"/>
    </row>
    <row r="29" spans="1:11" x14ac:dyDescent="0.35">
      <c r="A29" s="165" t="s">
        <v>314</v>
      </c>
      <c r="B29" s="165"/>
      <c r="C29" s="165"/>
      <c r="D29" s="165"/>
      <c r="E29" s="165"/>
    </row>
    <row r="30" spans="1:11" x14ac:dyDescent="0.35">
      <c r="A30" s="165" t="s">
        <v>315</v>
      </c>
      <c r="B30" s="165"/>
      <c r="C30" s="165"/>
      <c r="D30" s="165"/>
      <c r="E30" s="165"/>
    </row>
    <row r="31" spans="1:11" x14ac:dyDescent="0.35">
      <c r="A31" s="165" t="s">
        <v>316</v>
      </c>
      <c r="B31" s="165"/>
      <c r="C31" s="165"/>
      <c r="D31" s="165"/>
      <c r="E31" s="165"/>
    </row>
  </sheetData>
  <mergeCells count="11">
    <mergeCell ref="A26:H26"/>
    <mergeCell ref="A1:K1"/>
    <mergeCell ref="A2:K2"/>
    <mergeCell ref="A5:K5"/>
    <mergeCell ref="C16:G16"/>
    <mergeCell ref="A18:K18"/>
    <mergeCell ref="A30:E30"/>
    <mergeCell ref="A31:E31"/>
    <mergeCell ref="A27:E27"/>
    <mergeCell ref="A28:E28"/>
    <mergeCell ref="A29:E29"/>
  </mergeCells>
  <conditionalFormatting sqref="B20:F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G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08C4-2CF6-42BB-BDB6-906208A14202}">
  <sheetPr>
    <tabColor rgb="FFFF0000"/>
  </sheetPr>
  <dimension ref="A1:J20"/>
  <sheetViews>
    <sheetView workbookViewId="0">
      <selection activeCell="E23" sqref="E23"/>
    </sheetView>
  </sheetViews>
  <sheetFormatPr defaultRowHeight="14.5" x14ac:dyDescent="0.35"/>
  <cols>
    <col min="1" max="1" width="28.6328125" customWidth="1"/>
    <col min="2" max="5" width="12.6328125" customWidth="1"/>
  </cols>
  <sheetData>
    <row r="1" spans="1:10" ht="24" customHeight="1" x14ac:dyDescent="0.35">
      <c r="A1" s="141" t="s">
        <v>384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x14ac:dyDescent="0.35">
      <c r="A2" s="169" t="s">
        <v>385</v>
      </c>
      <c r="B2" s="169"/>
      <c r="C2" s="169"/>
      <c r="D2" s="169"/>
      <c r="E2" s="169"/>
      <c r="F2" s="169"/>
      <c r="G2" s="169"/>
      <c r="H2" s="169"/>
      <c r="I2" s="169"/>
      <c r="J2" s="169"/>
    </row>
    <row r="4" spans="1:10" ht="11.5" customHeight="1" x14ac:dyDescent="0.35">
      <c r="A4" s="138" t="s">
        <v>386</v>
      </c>
      <c r="B4" s="138"/>
      <c r="C4" s="138"/>
      <c r="D4" s="138"/>
      <c r="E4" s="138"/>
    </row>
    <row r="5" spans="1:10" x14ac:dyDescent="0.35">
      <c r="A5" s="8" t="s">
        <v>367</v>
      </c>
      <c r="B5" s="8" t="s">
        <v>387</v>
      </c>
      <c r="C5" s="8" t="s">
        <v>388</v>
      </c>
      <c r="D5" s="8" t="s">
        <v>389</v>
      </c>
      <c r="E5" s="8" t="s">
        <v>390</v>
      </c>
    </row>
    <row r="6" spans="1:10" x14ac:dyDescent="0.35">
      <c r="A6" s="3" t="s">
        <v>391</v>
      </c>
      <c r="B6" s="129">
        <v>350</v>
      </c>
      <c r="C6" s="129">
        <f>'DCF Valuation'!B38</f>
        <v>546.55389730980642</v>
      </c>
      <c r="D6" s="129">
        <v>750</v>
      </c>
      <c r="E6" s="129">
        <v>86.4</v>
      </c>
    </row>
    <row r="7" spans="1:10" x14ac:dyDescent="0.35">
      <c r="A7" s="3" t="s">
        <v>392</v>
      </c>
      <c r="B7" s="129">
        <v>500</v>
      </c>
      <c r="C7" s="129">
        <v>800</v>
      </c>
      <c r="D7" s="129">
        <v>1100</v>
      </c>
      <c r="E7" s="129">
        <v>86.4</v>
      </c>
    </row>
    <row r="8" spans="1:10" x14ac:dyDescent="0.35">
      <c r="A8" s="3" t="s">
        <v>393</v>
      </c>
      <c r="B8" s="129">
        <v>150</v>
      </c>
      <c r="C8" s="129">
        <v>250</v>
      </c>
      <c r="D8" s="129">
        <v>400</v>
      </c>
      <c r="E8" s="129">
        <v>86.4</v>
      </c>
    </row>
    <row r="9" spans="1:10" x14ac:dyDescent="0.35">
      <c r="A9" s="3" t="s">
        <v>380</v>
      </c>
      <c r="B9" s="129">
        <v>280</v>
      </c>
      <c r="C9" s="129">
        <f>Comps!F27</f>
        <v>405.73437633581256</v>
      </c>
      <c r="D9" s="129">
        <v>550</v>
      </c>
      <c r="E9" s="129">
        <v>86.4</v>
      </c>
    </row>
    <row r="10" spans="1:10" x14ac:dyDescent="0.35">
      <c r="A10" s="3" t="s">
        <v>381</v>
      </c>
      <c r="B10" s="129">
        <v>150</v>
      </c>
      <c r="C10" s="129">
        <f>Comps!F28</f>
        <v>298.06593765301125</v>
      </c>
      <c r="D10" s="129">
        <v>400</v>
      </c>
      <c r="E10" s="129">
        <v>86.4</v>
      </c>
    </row>
    <row r="11" spans="1:10" x14ac:dyDescent="0.35">
      <c r="A11" s="3" t="s">
        <v>382</v>
      </c>
      <c r="B11" s="129">
        <v>60</v>
      </c>
      <c r="C11" s="129">
        <f>Comps!F29</f>
        <v>99.835427887492514</v>
      </c>
      <c r="D11" s="129">
        <v>160</v>
      </c>
      <c r="E11" s="129">
        <v>86.4</v>
      </c>
    </row>
    <row r="12" spans="1:10" x14ac:dyDescent="0.35">
      <c r="A12" s="3" t="s">
        <v>394</v>
      </c>
      <c r="B12" s="129">
        <v>79.2</v>
      </c>
      <c r="C12" s="129">
        <v>92</v>
      </c>
      <c r="D12" s="129">
        <v>115.85</v>
      </c>
      <c r="E12" s="129">
        <v>86.4</v>
      </c>
    </row>
    <row r="14" spans="1:10" ht="11.5" customHeight="1" x14ac:dyDescent="0.35">
      <c r="A14" s="138" t="s">
        <v>395</v>
      </c>
      <c r="B14" s="138"/>
      <c r="C14" s="138"/>
      <c r="D14" s="138"/>
      <c r="E14" s="138"/>
    </row>
    <row r="15" spans="1:10" x14ac:dyDescent="0.35">
      <c r="A15" s="168" t="s">
        <v>396</v>
      </c>
      <c r="B15" s="168"/>
      <c r="C15" s="168"/>
      <c r="D15" s="168"/>
      <c r="E15" s="168"/>
    </row>
    <row r="16" spans="1:10" x14ac:dyDescent="0.35">
      <c r="A16" s="170" t="s">
        <v>397</v>
      </c>
      <c r="B16" s="170"/>
      <c r="C16" s="170"/>
      <c r="D16" s="170"/>
      <c r="E16" s="170"/>
    </row>
    <row r="17" spans="1:5" x14ac:dyDescent="0.35">
      <c r="A17" s="170" t="s">
        <v>398</v>
      </c>
      <c r="B17" s="170"/>
      <c r="C17" s="170"/>
      <c r="D17" s="170"/>
      <c r="E17" s="170"/>
    </row>
    <row r="18" spans="1:5" x14ac:dyDescent="0.35">
      <c r="A18" s="171" t="s">
        <v>399</v>
      </c>
      <c r="B18" s="171"/>
      <c r="C18" s="171"/>
      <c r="D18" s="171"/>
      <c r="E18" s="171"/>
    </row>
    <row r="19" spans="1:5" x14ac:dyDescent="0.35">
      <c r="A19" s="172" t="s">
        <v>400</v>
      </c>
      <c r="B19" s="172"/>
      <c r="C19" s="172"/>
      <c r="D19" s="172"/>
      <c r="E19" s="172"/>
    </row>
    <row r="20" spans="1:5" x14ac:dyDescent="0.35">
      <c r="A20" s="168" t="s">
        <v>401</v>
      </c>
      <c r="B20" s="168"/>
      <c r="C20" s="168"/>
      <c r="D20" s="168"/>
      <c r="E20" s="168"/>
    </row>
  </sheetData>
  <mergeCells count="10">
    <mergeCell ref="A20:E20"/>
    <mergeCell ref="A1:J1"/>
    <mergeCell ref="A2:J2"/>
    <mergeCell ref="A4:E4"/>
    <mergeCell ref="A14:E14"/>
    <mergeCell ref="A15:E15"/>
    <mergeCell ref="A16:E16"/>
    <mergeCell ref="A17:E17"/>
    <mergeCell ref="A18:E18"/>
    <mergeCell ref="A19:E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9ECA-44B1-4C38-B70D-F99F72F21378}">
  <sheetPr>
    <tabColor rgb="FFFFC000"/>
  </sheetPr>
  <dimension ref="A1:N37"/>
  <sheetViews>
    <sheetView tabSelected="1" zoomScale="90" zoomScaleNormal="90" workbookViewId="0">
      <selection activeCell="G23" sqref="G23"/>
    </sheetView>
  </sheetViews>
  <sheetFormatPr defaultRowHeight="14.5" x14ac:dyDescent="0.35"/>
  <cols>
    <col min="1" max="14" width="11.6328125" customWidth="1"/>
  </cols>
  <sheetData>
    <row r="1" spans="1:14" ht="30" customHeight="1" x14ac:dyDescent="0.35">
      <c r="A1" s="141" t="s">
        <v>402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ht="19" customHeight="1" x14ac:dyDescent="0.35">
      <c r="A2" s="176" t="s">
        <v>403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4" spans="1:14" ht="18" customHeight="1" x14ac:dyDescent="0.35">
      <c r="A4" s="173" t="s">
        <v>404</v>
      </c>
      <c r="B4" s="173"/>
      <c r="C4" s="174" t="s">
        <v>406</v>
      </c>
      <c r="D4" s="174"/>
      <c r="E4" s="181" t="s">
        <v>407</v>
      </c>
      <c r="F4" s="181"/>
      <c r="G4" s="185" t="s">
        <v>409</v>
      </c>
      <c r="H4" s="185"/>
      <c r="I4" s="189" t="s">
        <v>410</v>
      </c>
      <c r="J4" s="189"/>
      <c r="K4" s="193" t="s">
        <v>412</v>
      </c>
      <c r="L4" s="193"/>
      <c r="M4" s="197" t="s">
        <v>414</v>
      </c>
      <c r="N4" s="197"/>
    </row>
    <row r="5" spans="1:14" ht="16" customHeight="1" x14ac:dyDescent="0.35">
      <c r="A5" s="177">
        <f>'Historical P&amp;L'!F5</f>
        <v>321913</v>
      </c>
      <c r="B5" s="177"/>
      <c r="C5" s="175">
        <f>'Historical P&amp;L'!F17</f>
        <v>8868</v>
      </c>
      <c r="D5" s="175"/>
      <c r="E5" s="182">
        <f>'Historical P&amp;L'!F18</f>
        <v>2.7547815714183646E-2</v>
      </c>
      <c r="F5" s="182"/>
      <c r="G5" s="186">
        <f>'Ratio Analysis'!F27</f>
        <v>3.2863179252809599E-2</v>
      </c>
      <c r="H5" s="186"/>
      <c r="I5" s="190">
        <f>Comps!H23</f>
        <v>1.617710583153348</v>
      </c>
      <c r="J5" s="190"/>
      <c r="K5" s="194">
        <f>'DCF Valuation'!B38</f>
        <v>546.55389730980642</v>
      </c>
      <c r="L5" s="194"/>
      <c r="M5" s="198">
        <f>'DCF Valuation'!B41</f>
        <v>86.4</v>
      </c>
      <c r="N5" s="198"/>
    </row>
    <row r="6" spans="1:14" ht="16" customHeight="1" x14ac:dyDescent="0.35">
      <c r="A6" s="177"/>
      <c r="B6" s="177"/>
      <c r="C6" s="175"/>
      <c r="D6" s="175"/>
      <c r="E6" s="182"/>
      <c r="F6" s="182"/>
      <c r="G6" s="186"/>
      <c r="H6" s="186"/>
      <c r="I6" s="190"/>
      <c r="J6" s="190"/>
      <c r="K6" s="194"/>
      <c r="L6" s="194"/>
      <c r="M6" s="198"/>
      <c r="N6" s="198"/>
    </row>
    <row r="7" spans="1:14" ht="16" customHeight="1" x14ac:dyDescent="0.35">
      <c r="A7" s="177"/>
      <c r="B7" s="177"/>
      <c r="C7" s="175"/>
      <c r="D7" s="175"/>
      <c r="E7" s="182"/>
      <c r="F7" s="182"/>
      <c r="G7" s="186"/>
      <c r="H7" s="186"/>
      <c r="I7" s="190"/>
      <c r="J7" s="190"/>
      <c r="K7" s="194"/>
      <c r="L7" s="194"/>
      <c r="M7" s="198"/>
      <c r="N7" s="198"/>
    </row>
    <row r="8" spans="1:14" ht="14" customHeight="1" x14ac:dyDescent="0.35">
      <c r="A8" s="178" t="s">
        <v>405</v>
      </c>
      <c r="B8" s="178"/>
      <c r="C8" s="179" t="s">
        <v>405</v>
      </c>
      <c r="D8" s="179"/>
      <c r="E8" s="183" t="s">
        <v>408</v>
      </c>
      <c r="F8" s="183"/>
      <c r="G8" s="187" t="s">
        <v>408</v>
      </c>
      <c r="H8" s="187"/>
      <c r="I8" s="191" t="s">
        <v>411</v>
      </c>
      <c r="J8" s="191"/>
      <c r="K8" s="195" t="s">
        <v>413</v>
      </c>
      <c r="L8" s="195"/>
      <c r="M8" s="199" t="s">
        <v>413</v>
      </c>
      <c r="N8" s="199"/>
    </row>
    <row r="9" spans="1:14" ht="6" customHeight="1" x14ac:dyDescent="0.35">
      <c r="A9" s="173"/>
      <c r="B9" s="173"/>
      <c r="C9" s="180"/>
      <c r="D9" s="180"/>
      <c r="E9" s="184"/>
      <c r="F9" s="184"/>
      <c r="G9" s="188"/>
      <c r="H9" s="188"/>
      <c r="I9" s="192"/>
      <c r="J9" s="192"/>
      <c r="K9" s="196"/>
      <c r="L9" s="196"/>
      <c r="M9" s="200"/>
      <c r="N9" s="200"/>
    </row>
    <row r="11" spans="1:14" ht="11.5" customHeight="1" x14ac:dyDescent="0.35">
      <c r="A11" s="138" t="s">
        <v>415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</row>
    <row r="12" spans="1:14" x14ac:dyDescent="0.35">
      <c r="A12" s="8" t="s">
        <v>416</v>
      </c>
      <c r="B12" s="8">
        <v>2021</v>
      </c>
      <c r="C12" s="8">
        <v>2022</v>
      </c>
      <c r="D12" s="8">
        <v>2023</v>
      </c>
      <c r="E12" s="8">
        <v>2024</v>
      </c>
      <c r="F12" s="8">
        <v>2025</v>
      </c>
    </row>
    <row r="13" spans="1:14" x14ac:dyDescent="0.35">
      <c r="A13" s="5" t="s">
        <v>417</v>
      </c>
      <c r="B13" s="66">
        <f>'Historical P&amp;L'!B5</f>
        <v>250200</v>
      </c>
      <c r="C13" s="66">
        <f>'Historical P&amp;L'!C5</f>
        <v>279232</v>
      </c>
      <c r="D13" s="66">
        <f>'Historical P&amp;L'!D5</f>
        <v>322284</v>
      </c>
      <c r="E13" s="66">
        <f>'Historical P&amp;L'!E5</f>
        <v>324656</v>
      </c>
      <c r="F13" s="66">
        <f>'Historical P&amp;L'!F5</f>
        <v>321913</v>
      </c>
    </row>
    <row r="14" spans="1:14" ht="24" x14ac:dyDescent="0.35">
      <c r="A14" s="131" t="s">
        <v>418</v>
      </c>
      <c r="B14" s="132">
        <f>'Historical P&amp;L'!B6</f>
        <v>0</v>
      </c>
      <c r="C14" s="132">
        <f>'Historical P&amp;L'!C6</f>
        <v>0.11603517186250999</v>
      </c>
      <c r="D14" s="132">
        <f>'Historical P&amp;L'!D6</f>
        <v>0.15418003667201466</v>
      </c>
      <c r="E14" s="132">
        <f>'Historical P&amp;L'!E6</f>
        <v>7.3599682267813478E-3</v>
      </c>
      <c r="F14" s="132">
        <f>'Historical P&amp;L'!F6</f>
        <v>-8.4489428810802826E-3</v>
      </c>
    </row>
    <row r="15" spans="1:14" x14ac:dyDescent="0.35">
      <c r="A15" s="5" t="s">
        <v>419</v>
      </c>
      <c r="B15" s="66">
        <f>'Historical P&amp;L'!B17</f>
        <v>19275</v>
      </c>
      <c r="C15" s="66">
        <f>'Historical P&amp;L'!C17</f>
        <v>22119</v>
      </c>
      <c r="D15" s="66">
        <f>'Historical P&amp;L'!D17</f>
        <v>22576</v>
      </c>
      <c r="E15" s="66">
        <f>'Historical P&amp;L'!E17</f>
        <v>19060</v>
      </c>
      <c r="F15" s="66">
        <f>'Historical P&amp;L'!F17</f>
        <v>8868</v>
      </c>
    </row>
    <row r="16" spans="1:14" x14ac:dyDescent="0.35">
      <c r="A16" s="133" t="s">
        <v>420</v>
      </c>
      <c r="B16" s="132">
        <f>'Historical P&amp;L'!B18</f>
        <v>7.7038369304556362E-2</v>
      </c>
      <c r="C16" s="132">
        <f>'Historical P&amp;L'!C18</f>
        <v>7.9213700435480178E-2</v>
      </c>
      <c r="D16" s="132">
        <f>'Historical P&amp;L'!D18</f>
        <v>7.0050017996549627E-2</v>
      </c>
      <c r="E16" s="132">
        <f>'Historical P&amp;L'!E18</f>
        <v>5.8708294317677788E-2</v>
      </c>
      <c r="F16" s="132">
        <f>'Historical P&amp;L'!F18</f>
        <v>2.7547815714183646E-2</v>
      </c>
    </row>
    <row r="17" spans="1:14" ht="24" x14ac:dyDescent="0.35">
      <c r="A17" s="130" t="s">
        <v>421</v>
      </c>
      <c r="B17" s="66">
        <f>'Historical P&amp;L'!B34</f>
        <v>14318</v>
      </c>
      <c r="C17" s="66">
        <f>'Historical P&amp;L'!C34</f>
        <v>14163</v>
      </c>
      <c r="D17" s="66">
        <f>'Historical P&amp;L'!D34</f>
        <v>16042</v>
      </c>
      <c r="E17" s="66">
        <f>'Historical P&amp;L'!E34</f>
        <v>10722</v>
      </c>
      <c r="F17" s="66">
        <f>'Historical P&amp;L'!F34</f>
        <v>6673</v>
      </c>
    </row>
    <row r="18" spans="1:14" x14ac:dyDescent="0.35">
      <c r="A18" s="133" t="s">
        <v>422</v>
      </c>
      <c r="B18" s="132">
        <f>'Historical P&amp;L'!B35</f>
        <v>5.7226219024780173E-2</v>
      </c>
      <c r="C18" s="132">
        <f>'Historical P&amp;L'!C35</f>
        <v>5.0721264038505617E-2</v>
      </c>
      <c r="D18" s="132">
        <f>'Historical P&amp;L'!D35</f>
        <v>4.9775973985677228E-2</v>
      </c>
      <c r="E18" s="132">
        <f>'Historical P&amp;L'!E35</f>
        <v>3.3025725691193143E-2</v>
      </c>
      <c r="F18" s="132">
        <f>'Historical P&amp;L'!F35</f>
        <v>2.0729203231929123E-2</v>
      </c>
    </row>
    <row r="19" spans="1:14" x14ac:dyDescent="0.35">
      <c r="A19" s="5" t="s">
        <v>423</v>
      </c>
      <c r="B19" s="47">
        <f>'Ratio Analysis'!B27</f>
        <v>9.7965160036673646E-2</v>
      </c>
      <c r="C19" s="47">
        <f>'Ratio Analysis'!C27</f>
        <v>7.9421512165852623E-2</v>
      </c>
      <c r="D19" s="47">
        <f>'Ratio Analysis'!D27</f>
        <v>8.4470702219975574E-2</v>
      </c>
      <c r="E19" s="47">
        <f>'Ratio Analysis'!E27</f>
        <v>5.4500815834820138E-2</v>
      </c>
      <c r="F19" s="47">
        <f>'Ratio Analysis'!F27</f>
        <v>3.2863179252809599E-2</v>
      </c>
    </row>
    <row r="20" spans="1:14" ht="24" x14ac:dyDescent="0.35">
      <c r="A20" s="131" t="s">
        <v>424</v>
      </c>
      <c r="B20" s="134">
        <f>'Historical P&amp;L'!B38</f>
        <v>29.59</v>
      </c>
      <c r="C20" s="134">
        <f>'Historical P&amp;L'!C38</f>
        <v>29.63</v>
      </c>
      <c r="D20" s="134">
        <f>'Historical P&amp;L'!D38</f>
        <v>31.79</v>
      </c>
      <c r="E20" s="134">
        <f>'Historical P&amp;L'!E38</f>
        <v>21.36</v>
      </c>
      <c r="F20" s="134">
        <f>'Historical P&amp;L'!F38</f>
        <v>13.29</v>
      </c>
    </row>
    <row r="22" spans="1:14" ht="11.5" customHeight="1" x14ac:dyDescent="0.35">
      <c r="A22" s="138" t="s">
        <v>425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</row>
    <row r="23" spans="1:14" x14ac:dyDescent="0.35">
      <c r="A23" s="8" t="s">
        <v>416</v>
      </c>
      <c r="B23" s="8" t="s">
        <v>39</v>
      </c>
      <c r="C23" s="8" t="s">
        <v>40</v>
      </c>
      <c r="D23" s="8" t="s">
        <v>41</v>
      </c>
      <c r="E23" s="8" t="s">
        <v>42</v>
      </c>
      <c r="F23" s="8" t="s">
        <v>43</v>
      </c>
    </row>
    <row r="24" spans="1:14" x14ac:dyDescent="0.35">
      <c r="A24" s="3" t="s">
        <v>417</v>
      </c>
      <c r="B24" s="66">
        <f>'Projected P&amp;L'!C6</f>
        <v>329960.82499999995</v>
      </c>
      <c r="C24" s="66">
        <f>'Projected P&amp;L'!D6</f>
        <v>339859.64974999998</v>
      </c>
      <c r="D24" s="66">
        <f>'Projected P&amp;L'!E6</f>
        <v>351754.73749124998</v>
      </c>
      <c r="E24" s="66">
        <f>'Projected P&amp;L'!F6</f>
        <v>362307.37961598748</v>
      </c>
      <c r="F24" s="66">
        <f>'Projected P&amp;L'!G6</f>
        <v>371365.06410638714</v>
      </c>
    </row>
    <row r="25" spans="1:14" x14ac:dyDescent="0.35">
      <c r="A25" s="135" t="s">
        <v>419</v>
      </c>
      <c r="B25" s="136">
        <f>'Projected P&amp;L'!C18</f>
        <v>9898.8247500000252</v>
      </c>
      <c r="C25" s="136">
        <f>'Projected P&amp;L'!D18</f>
        <v>13254.526340250022</v>
      </c>
      <c r="D25" s="136">
        <f>'Projected P&amp;L'!E18</f>
        <v>16532.472662088752</v>
      </c>
      <c r="E25" s="136">
        <f>'Projected P&amp;L'!F18</f>
        <v>18839.983740031363</v>
      </c>
      <c r="F25" s="136">
        <f>'Projected P&amp;L'!G18</f>
        <v>20796.443589957715</v>
      </c>
    </row>
    <row r="26" spans="1:14" x14ac:dyDescent="0.35">
      <c r="A26" s="3" t="s">
        <v>420</v>
      </c>
      <c r="B26" s="47">
        <f>'Projected P&amp;L'!C19</f>
        <v>3.0000000000000082E-2</v>
      </c>
      <c r="C26" s="47">
        <f>'Projected P&amp;L'!D19</f>
        <v>3.9000000000000069E-2</v>
      </c>
      <c r="D26" s="47">
        <f>'Projected P&amp;L'!E19</f>
        <v>4.7000000000000007E-2</v>
      </c>
      <c r="E26" s="47">
        <f>'Projected P&amp;L'!F19</f>
        <v>5.2000000000000039E-2</v>
      </c>
      <c r="F26" s="47">
        <f>'Projected P&amp;L'!G19</f>
        <v>5.6000000000000091E-2</v>
      </c>
    </row>
    <row r="27" spans="1:14" x14ac:dyDescent="0.35">
      <c r="A27" s="135" t="s">
        <v>426</v>
      </c>
      <c r="B27" s="136">
        <f>'FCF Build'!C26</f>
        <v>3046.9065450000207</v>
      </c>
      <c r="C27" s="136">
        <f>'FCF Build'!D26</f>
        <v>5996.1800962300185</v>
      </c>
      <c r="D27" s="136">
        <f>'FCF Build'!E26</f>
        <v>8207.4066256726528</v>
      </c>
      <c r="E27" s="136">
        <f>'FCF Build'!F26</f>
        <v>10508.039624023622</v>
      </c>
      <c r="F27" s="136">
        <f>'FCF Build'!G26</f>
        <v>11866.653604562463</v>
      </c>
    </row>
    <row r="28" spans="1:14" ht="24" x14ac:dyDescent="0.35">
      <c r="A28" s="130" t="s">
        <v>421</v>
      </c>
      <c r="B28" s="66">
        <f>'Projected P&amp;L'!C28</f>
        <v>4897.1538200000177</v>
      </c>
      <c r="C28" s="66">
        <f>'Projected P&amp;L'!D28</f>
        <v>7313.2589649800157</v>
      </c>
      <c r="D28" s="66">
        <f>'Projected P&amp;L'!E28</f>
        <v>9889.3803167039005</v>
      </c>
      <c r="E28" s="66">
        <f>'Projected P&amp;L'!F28</f>
        <v>11550.788292822581</v>
      </c>
      <c r="F28" s="66">
        <f>'Projected P&amp;L'!G28</f>
        <v>13103.439384769554</v>
      </c>
    </row>
    <row r="30" spans="1:14" ht="14.5" customHeight="1" x14ac:dyDescent="0.35">
      <c r="A30" s="166" t="s">
        <v>427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</row>
    <row r="31" spans="1:14" x14ac:dyDescent="0.35">
      <c r="A31" s="201" t="s">
        <v>428</v>
      </c>
      <c r="B31" s="201"/>
      <c r="C31" s="74">
        <f>'DCF Valuation'!B22</f>
        <v>314767.46872140595</v>
      </c>
    </row>
    <row r="32" spans="1:14" x14ac:dyDescent="0.35">
      <c r="A32" s="201" t="s">
        <v>429</v>
      </c>
      <c r="B32" s="201"/>
      <c r="C32" s="74">
        <f>'DCF Valuation'!B31</f>
        <v>273987.46872140595</v>
      </c>
    </row>
    <row r="33" spans="1:4" x14ac:dyDescent="0.35">
      <c r="A33" s="201" t="s">
        <v>430</v>
      </c>
      <c r="B33" s="201"/>
      <c r="C33" s="104">
        <f>'DCF Valuation'!B38</f>
        <v>546.55389730980642</v>
      </c>
    </row>
    <row r="34" spans="1:4" x14ac:dyDescent="0.35">
      <c r="A34" s="201" t="s">
        <v>431</v>
      </c>
      <c r="B34" s="201"/>
      <c r="C34" s="104">
        <f>'DCF Valuation'!B41</f>
        <v>86.4</v>
      </c>
    </row>
    <row r="35" spans="1:4" x14ac:dyDescent="0.35">
      <c r="A35" s="201" t="s">
        <v>300</v>
      </c>
      <c r="B35" s="201"/>
      <c r="C35" s="47">
        <f>'DCF Valuation'!B43</f>
        <v>5.3258552929375744</v>
      </c>
    </row>
    <row r="36" spans="1:4" x14ac:dyDescent="0.35">
      <c r="A36" s="201" t="s">
        <v>432</v>
      </c>
      <c r="B36" s="201"/>
      <c r="C36" s="104">
        <f>Comps!B37</f>
        <v>337.54740979653064</v>
      </c>
    </row>
    <row r="37" spans="1:4" x14ac:dyDescent="0.35">
      <c r="A37" s="137" t="s">
        <v>433</v>
      </c>
      <c r="B37" s="137"/>
      <c r="C37" s="202" t="str">
        <f>'DCF Valuation'!B45</f>
        <v>UNDERVALUED ▲</v>
      </c>
      <c r="D37" s="202"/>
    </row>
  </sheetData>
  <mergeCells count="40">
    <mergeCell ref="A34:B34"/>
    <mergeCell ref="A35:B35"/>
    <mergeCell ref="A36:B36"/>
    <mergeCell ref="C37:D37"/>
    <mergeCell ref="A11:N11"/>
    <mergeCell ref="A22:N22"/>
    <mergeCell ref="A30:N30"/>
    <mergeCell ref="A31:B31"/>
    <mergeCell ref="A32:B32"/>
    <mergeCell ref="A33:B33"/>
    <mergeCell ref="K4:L4"/>
    <mergeCell ref="K5:L7"/>
    <mergeCell ref="K8:L8"/>
    <mergeCell ref="K9:L9"/>
    <mergeCell ref="M4:N4"/>
    <mergeCell ref="M5:N7"/>
    <mergeCell ref="M8:N8"/>
    <mergeCell ref="M9:N9"/>
    <mergeCell ref="G8:H8"/>
    <mergeCell ref="G9:H9"/>
    <mergeCell ref="I4:J4"/>
    <mergeCell ref="I5:J7"/>
    <mergeCell ref="I8:J8"/>
    <mergeCell ref="I9:J9"/>
    <mergeCell ref="A9:B9"/>
    <mergeCell ref="C4:D4"/>
    <mergeCell ref="C5:D7"/>
    <mergeCell ref="A1:N1"/>
    <mergeCell ref="A2:N2"/>
    <mergeCell ref="A4:B4"/>
    <mergeCell ref="A5:B7"/>
    <mergeCell ref="A8:B8"/>
    <mergeCell ref="C8:D8"/>
    <mergeCell ref="C9:D9"/>
    <mergeCell ref="E4:F4"/>
    <mergeCell ref="E5:F7"/>
    <mergeCell ref="E8:F8"/>
    <mergeCell ref="E9:F9"/>
    <mergeCell ref="G4:H4"/>
    <mergeCell ref="G5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Historical P&amp;L</vt:lpstr>
      <vt:lpstr>Ratio Analysis</vt:lpstr>
      <vt:lpstr>Revenue Forecast</vt:lpstr>
      <vt:lpstr>Projected P&amp;L</vt:lpstr>
      <vt:lpstr>FCF Build</vt:lpstr>
      <vt:lpstr>WACC</vt:lpstr>
      <vt:lpstr>DCF Valuation</vt:lpstr>
      <vt:lpstr>Comps</vt:lpstr>
      <vt:lpstr>Sensitivity</vt:lpstr>
      <vt:lpstr>Football Field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Tanwar</dc:creator>
  <cp:lastModifiedBy>Shekhar Tanwar</cp:lastModifiedBy>
  <dcterms:created xsi:type="dcterms:W3CDTF">2026-06-28T18:19:05Z</dcterms:created>
  <dcterms:modified xsi:type="dcterms:W3CDTF">2026-07-05T07:17:20Z</dcterms:modified>
</cp:coreProperties>
</file>